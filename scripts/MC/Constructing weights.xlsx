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nvdem\snvdem24\scripts\MC\"/>
    </mc:Choice>
  </mc:AlternateContent>
  <xr:revisionPtr revIDLastSave="0" documentId="13_ncr:1_{FB37AABA-DFE3-413A-998D-F80482BE714E}" xr6:coauthVersionLast="47" xr6:coauthVersionMax="47" xr10:uidLastSave="{00000000-0000-0000-0000-000000000000}"/>
  <bookViews>
    <workbookView xWindow="-110" yWindow="-110" windowWidth="19420" windowHeight="10300" xr2:uid="{893AF1E8-D125-47E8-AAF8-14142ADDD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" i="1" l="1"/>
  <c r="I64" i="1"/>
  <c r="I63" i="1"/>
  <c r="I62" i="1"/>
  <c r="D65" i="1"/>
  <c r="D64" i="1"/>
  <c r="D63" i="1"/>
  <c r="D62" i="1"/>
  <c r="J30" i="1"/>
  <c r="H30" i="1"/>
  <c r="J28" i="1"/>
  <c r="H28" i="1"/>
  <c r="J26" i="1"/>
  <c r="H26" i="1"/>
  <c r="J24" i="1"/>
  <c r="H24" i="1"/>
  <c r="J23" i="1"/>
  <c r="J41" i="1" s="1"/>
  <c r="H23" i="1"/>
  <c r="H41" i="1" s="1"/>
  <c r="J21" i="1"/>
  <c r="H21" i="1"/>
  <c r="H39" i="1" s="1"/>
  <c r="J20" i="1"/>
  <c r="J39" i="1" s="1"/>
  <c r="H20" i="1"/>
  <c r="D30" i="1"/>
  <c r="B30" i="1"/>
  <c r="D28" i="1"/>
  <c r="B28" i="1"/>
  <c r="D26" i="1"/>
  <c r="B26" i="1"/>
  <c r="D24" i="1"/>
  <c r="B24" i="1"/>
  <c r="D23" i="1"/>
  <c r="D41" i="1" s="1"/>
  <c r="B23" i="1"/>
  <c r="B41" i="1" s="1"/>
  <c r="D21" i="1"/>
  <c r="B21" i="1"/>
  <c r="D20" i="1"/>
  <c r="D39" i="1" s="1"/>
  <c r="B20" i="1"/>
  <c r="B39" i="1" s="1"/>
</calcChain>
</file>

<file path=xl/sharedStrings.xml><?xml version="1.0" encoding="utf-8"?>
<sst xmlns="http://schemas.openxmlformats.org/spreadsheetml/2006/main" count="117" uniqueCount="75">
  <si>
    <t>el</t>
  </si>
  <si>
    <t>em</t>
  </si>
  <si>
    <t>cs</t>
  </si>
  <si>
    <t>cw</t>
  </si>
  <si>
    <t>rural</t>
  </si>
  <si>
    <t>urban</t>
  </si>
  <si>
    <t>capital</t>
  </si>
  <si>
    <t>outside</t>
  </si>
  <si>
    <t>unrest</t>
  </si>
  <si>
    <t>illicit</t>
  </si>
  <si>
    <t>indigenous (indio or ethnic)</t>
  </si>
  <si>
    <t>names for selected V-Dem proportions</t>
  </si>
  <si>
    <t>em_r</t>
  </si>
  <si>
    <t>el_r</t>
  </si>
  <si>
    <t>cs_r</t>
  </si>
  <si>
    <t>cw_r</t>
  </si>
  <si>
    <t>em_u</t>
  </si>
  <si>
    <t>el_u</t>
  </si>
  <si>
    <t>cs_u</t>
  </si>
  <si>
    <t>cw_u</t>
  </si>
  <si>
    <t>em_c</t>
  </si>
  <si>
    <t>el_c</t>
  </si>
  <si>
    <t>cs_c</t>
  </si>
  <si>
    <t>cw_c</t>
  </si>
  <si>
    <t>em_o</t>
  </si>
  <si>
    <t>el_o</t>
  </si>
  <si>
    <t>cs_o</t>
  </si>
  <si>
    <t>cw_o</t>
  </si>
  <si>
    <t>em_n</t>
  </si>
  <si>
    <t>el_n</t>
  </si>
  <si>
    <t>cs_n</t>
  </si>
  <si>
    <t>cw_n</t>
  </si>
  <si>
    <t>em_i</t>
  </si>
  <si>
    <t>el_i</t>
  </si>
  <si>
    <t>cs_i</t>
  </si>
  <si>
    <t>em_l</t>
  </si>
  <si>
    <t>el_l</t>
  </si>
  <si>
    <t>cs_l</t>
  </si>
  <si>
    <t>indigenous (indig/ethnic)</t>
  </si>
  <si>
    <t>cw_i</t>
  </si>
  <si>
    <t>values</t>
  </si>
  <si>
    <t>The less/weaker proportions can be subtracted from the more/stronger proportions, then converted to absolute values, to represent</t>
  </si>
  <si>
    <t>emel</t>
  </si>
  <si>
    <t>cscw</t>
  </si>
  <si>
    <t>the weight of each dimension. Whether the dimension will predict more or less democracy will depend on the geo/demographic data.</t>
  </si>
  <si>
    <t>Some of the criteria, such as illicit activities, are represented by a single V-Dem option. Others, such as rural-urban and capital/outside, are</t>
  </si>
  <si>
    <t>represented by pairs of options. (NSEW by four options, which are best treated as four dummies.) When we have a single geo/demographic</t>
  </si>
  <si>
    <t xml:space="preserve">variable for a criterion with two options (as is the case for rurality and income) we can combine the weights for the options by averaging. </t>
  </si>
  <si>
    <t>When we have multiple geo/demographic variables for a single-option criterion, as with the four ethnic variables, we have to apply</t>
  </si>
  <si>
    <t xml:space="preserve">the same weight to all of them. </t>
  </si>
  <si>
    <t>rural-urban</t>
  </si>
  <si>
    <t>capital-outside</t>
  </si>
  <si>
    <t>For example, we shouldn't be .889 confident that the capital is more democratic if we are only .375 confident that it's less democratic outside the capital.</t>
  </si>
  <si>
    <t>em_n-el_n</t>
  </si>
  <si>
    <t>cs_n-cw_n</t>
  </si>
  <si>
    <t>em_l-el_l</t>
  </si>
  <si>
    <t>cs_l-cs_l</t>
  </si>
  <si>
    <t>em_i-el_i</t>
  </si>
  <si>
    <t>cs_i-cw_i</t>
  </si>
  <si>
    <t>To use these weights,  we would first make sure that the factor scores have positive signs for more democracy and negative scores for less democracy;</t>
  </si>
  <si>
    <t>then convert them to a 0-1 scale with ecdf or pnorm (whatever you've been doing); then multiply the transformed factor scores by the above weights,</t>
  </si>
  <si>
    <t xml:space="preserve">add them up, and divide by the sum of the weights to get a weighted average. </t>
  </si>
  <si>
    <t xml:space="preserve">An alternative would be to do this last step separately for the elections variables (emel) and the civil liberties variables (cscw). There would be a little </t>
  </si>
  <si>
    <t xml:space="preserve">difference: apparently civil liberties are more affected by most of these factors than elections are. That could be useful to point out. Also, although </t>
  </si>
  <si>
    <t>combining elections and civil liberties gets us closer to "democracy," what we'd be measuring is still much thinner than a fully fleshed-out concept</t>
  </si>
  <si>
    <t xml:space="preserve">of democracy. </t>
  </si>
  <si>
    <t xml:space="preserve">Another wrinkle you could do is, for the criteria represented by multiple geo/demographic variables, instead of assuming that each variable gets the </t>
  </si>
  <si>
    <t>PobInd_14c</t>
  </si>
  <si>
    <t>PobEtn_14c</t>
  </si>
  <si>
    <t>PobInd_14cp</t>
  </si>
  <si>
    <t>PobEtn_14cp</t>
  </si>
  <si>
    <t>product</t>
  </si>
  <si>
    <t>same weight, you could weight them by their factor loadings from the factor analysis and use those products instead:</t>
  </si>
  <si>
    <t>But that probably wouldn't make a big difference.</t>
  </si>
  <si>
    <t>Rationale for constructing weights for factor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</si>
</sst>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7"/>
      <color rgb="FF000000"/>
      <name val="Lucida Console"/>
      <family val="3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right" vertical="center" wrapText="1"/>
    </xf>
    <xf numFmtId="2" fontId="3" fillId="0" borderId="1" xfId="0" applyNumberFormat="1" applyFont="1" applyBorder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2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6"/>
    </xf>
    <xf numFmtId="0" fontId="2" fillId="0" borderId="0" xfId="0" applyFont="1" applyAlignment="1">
      <alignment horizontal="left" vertical="center" wrapText="1" indent="7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0" fillId="0" borderId="0" xfId="0" applyNumberFormat="1"/>
    <xf numFmtId="164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A6E4-BBED-47CB-9071-AFC51B6CC445}">
  <dimension ref="A1:O67"/>
  <sheetViews>
    <sheetView tabSelected="1" topLeftCell="A44" workbookViewId="0">
      <selection activeCell="A49" sqref="A49:A51"/>
    </sheetView>
  </sheetViews>
  <sheetFormatPr defaultRowHeight="14.5" x14ac:dyDescent="0.35"/>
  <cols>
    <col min="1" max="1" width="24.7265625" customWidth="1"/>
    <col min="2" max="2" width="9.81640625" customWidth="1"/>
    <col min="3" max="3" width="14.36328125" customWidth="1"/>
    <col min="4" max="5" width="8.6328125" customWidth="1"/>
    <col min="7" max="7" width="22.36328125" customWidth="1"/>
    <col min="12" max="12" width="15.6328125" customWidth="1"/>
    <col min="13" max="13" width="16.1796875" customWidth="1"/>
  </cols>
  <sheetData>
    <row r="1" spans="1:15" x14ac:dyDescent="0.35">
      <c r="A1" t="s">
        <v>74</v>
      </c>
    </row>
    <row r="3" spans="1:15" x14ac:dyDescent="0.35">
      <c r="B3" t="s">
        <v>11</v>
      </c>
      <c r="G3" t="s">
        <v>40</v>
      </c>
    </row>
    <row r="4" spans="1:15" x14ac:dyDescent="0.35">
      <c r="B4" t="s">
        <v>1</v>
      </c>
      <c r="C4" t="s">
        <v>0</v>
      </c>
      <c r="D4" t="s">
        <v>2</v>
      </c>
      <c r="E4" t="s">
        <v>3</v>
      </c>
      <c r="H4" t="s">
        <v>1</v>
      </c>
      <c r="I4" t="s">
        <v>0</v>
      </c>
      <c r="J4" t="s">
        <v>2</v>
      </c>
      <c r="K4" t="s">
        <v>3</v>
      </c>
    </row>
    <row r="5" spans="1:15" x14ac:dyDescent="0.35">
      <c r="A5" t="s">
        <v>4</v>
      </c>
      <c r="B5" s="2" t="s">
        <v>12</v>
      </c>
      <c r="C5" s="2" t="s">
        <v>13</v>
      </c>
      <c r="D5" s="2" t="s">
        <v>14</v>
      </c>
      <c r="E5" s="2" t="s">
        <v>15</v>
      </c>
      <c r="G5" t="s">
        <v>4</v>
      </c>
      <c r="H5" s="11">
        <v>0</v>
      </c>
      <c r="I5" s="11">
        <v>0.875</v>
      </c>
      <c r="J5" s="11">
        <v>0</v>
      </c>
      <c r="K5" s="11">
        <v>1</v>
      </c>
    </row>
    <row r="6" spans="1:15" x14ac:dyDescent="0.35">
      <c r="A6" t="s">
        <v>5</v>
      </c>
      <c r="B6" s="3" t="s">
        <v>16</v>
      </c>
      <c r="C6" s="3" t="s">
        <v>17</v>
      </c>
      <c r="D6" s="3" t="s">
        <v>18</v>
      </c>
      <c r="E6" s="3" t="s">
        <v>19</v>
      </c>
      <c r="G6" t="s">
        <v>5</v>
      </c>
      <c r="H6" s="12">
        <v>1</v>
      </c>
      <c r="I6" s="12">
        <v>0.125</v>
      </c>
      <c r="J6" s="12">
        <v>0.88900000000000001</v>
      </c>
      <c r="K6" s="12">
        <v>0</v>
      </c>
    </row>
    <row r="7" spans="1:15" x14ac:dyDescent="0.35">
      <c r="B7" s="3"/>
      <c r="C7" s="3"/>
      <c r="D7" s="3"/>
      <c r="E7" s="3"/>
      <c r="H7" s="12"/>
      <c r="I7" s="12"/>
      <c r="J7" s="12"/>
      <c r="K7" s="12"/>
    </row>
    <row r="8" spans="1:15" x14ac:dyDescent="0.35">
      <c r="A8" t="s">
        <v>6</v>
      </c>
      <c r="B8" s="3" t="s">
        <v>20</v>
      </c>
      <c r="C8" s="3" t="s">
        <v>21</v>
      </c>
      <c r="D8" s="3" t="s">
        <v>22</v>
      </c>
      <c r="E8" s="3" t="s">
        <v>23</v>
      </c>
      <c r="G8" t="s">
        <v>6</v>
      </c>
      <c r="H8" s="12">
        <v>0.88900000000000001</v>
      </c>
      <c r="I8" s="12">
        <v>0</v>
      </c>
      <c r="J8" s="12">
        <v>1</v>
      </c>
      <c r="K8" s="12">
        <v>0</v>
      </c>
    </row>
    <row r="9" spans="1:15" x14ac:dyDescent="0.35">
      <c r="A9" t="s">
        <v>7</v>
      </c>
      <c r="B9" s="3" t="s">
        <v>24</v>
      </c>
      <c r="C9" s="3" t="s">
        <v>25</v>
      </c>
      <c r="D9" s="3" t="s">
        <v>26</v>
      </c>
      <c r="E9" s="3" t="s">
        <v>27</v>
      </c>
      <c r="G9" t="s">
        <v>7</v>
      </c>
      <c r="H9" s="12">
        <v>0</v>
      </c>
      <c r="I9" s="12">
        <v>0.375</v>
      </c>
      <c r="J9" s="12">
        <v>0</v>
      </c>
      <c r="K9" s="12">
        <v>0.6</v>
      </c>
    </row>
    <row r="10" spans="1:15" x14ac:dyDescent="0.35">
      <c r="B10" s="4"/>
      <c r="C10" s="4"/>
      <c r="D10" s="4"/>
      <c r="E10" s="4"/>
      <c r="H10" s="13"/>
      <c r="I10" s="13"/>
      <c r="J10" s="13"/>
      <c r="K10" s="13"/>
    </row>
    <row r="11" spans="1:15" x14ac:dyDescent="0.35">
      <c r="A11" t="s">
        <v>8</v>
      </c>
      <c r="B11" s="3" t="s">
        <v>28</v>
      </c>
      <c r="C11" s="3" t="s">
        <v>29</v>
      </c>
      <c r="D11" s="3" t="s">
        <v>30</v>
      </c>
      <c r="E11" s="3" t="s">
        <v>31</v>
      </c>
      <c r="G11" t="s">
        <v>8</v>
      </c>
      <c r="H11" s="12">
        <v>0</v>
      </c>
      <c r="I11" s="12">
        <v>1</v>
      </c>
      <c r="J11" s="12">
        <v>0</v>
      </c>
      <c r="K11" s="12">
        <v>0.9</v>
      </c>
    </row>
    <row r="12" spans="1:15" x14ac:dyDescent="0.35">
      <c r="B12" s="4"/>
      <c r="C12" s="4"/>
      <c r="D12" s="4"/>
      <c r="E12" s="4"/>
      <c r="H12" s="13"/>
      <c r="I12" s="13"/>
      <c r="J12" s="13"/>
      <c r="K12" s="13"/>
    </row>
    <row r="13" spans="1:15" x14ac:dyDescent="0.35">
      <c r="A13" t="s">
        <v>9</v>
      </c>
      <c r="B13" s="3" t="s">
        <v>35</v>
      </c>
      <c r="C13" s="3" t="s">
        <v>36</v>
      </c>
      <c r="D13" s="3" t="s">
        <v>37</v>
      </c>
      <c r="E13" s="3" t="s">
        <v>37</v>
      </c>
      <c r="G13" t="s">
        <v>9</v>
      </c>
      <c r="H13" s="12">
        <v>0</v>
      </c>
      <c r="I13" s="12">
        <v>0.875</v>
      </c>
      <c r="J13" s="12">
        <v>0</v>
      </c>
      <c r="K13" s="12">
        <v>0.9</v>
      </c>
      <c r="L13" s="5"/>
      <c r="M13" s="5"/>
      <c r="N13" s="5"/>
      <c r="O13" s="5"/>
    </row>
    <row r="14" spans="1:15" x14ac:dyDescent="0.35">
      <c r="H14" s="13"/>
      <c r="I14" s="13"/>
      <c r="J14" s="13"/>
      <c r="K14" s="13"/>
      <c r="L14" s="7"/>
      <c r="M14" s="8"/>
      <c r="N14" s="9"/>
      <c r="O14" s="9"/>
    </row>
    <row r="15" spans="1:15" x14ac:dyDescent="0.35">
      <c r="A15" t="s">
        <v>38</v>
      </c>
      <c r="B15" t="s">
        <v>32</v>
      </c>
      <c r="C15" t="s">
        <v>33</v>
      </c>
      <c r="D15" s="10" t="s">
        <v>34</v>
      </c>
      <c r="E15" s="10" t="s">
        <v>39</v>
      </c>
      <c r="G15" t="s">
        <v>10</v>
      </c>
      <c r="H15" s="13">
        <v>0</v>
      </c>
      <c r="I15" s="13">
        <v>0.5</v>
      </c>
      <c r="J15" s="14">
        <v>0</v>
      </c>
      <c r="K15" s="14">
        <v>0.9</v>
      </c>
      <c r="L15" s="7"/>
      <c r="M15" s="8"/>
      <c r="N15" s="9"/>
      <c r="O15" s="9"/>
    </row>
    <row r="16" spans="1:15" x14ac:dyDescent="0.35">
      <c r="D16" s="1"/>
      <c r="E16" s="1"/>
      <c r="K16" s="6"/>
      <c r="L16" s="7"/>
      <c r="M16" s="8"/>
      <c r="N16" s="9"/>
      <c r="O16" s="9"/>
    </row>
    <row r="17" spans="1:15" x14ac:dyDescent="0.35">
      <c r="A17" t="s">
        <v>41</v>
      </c>
      <c r="D17" s="1"/>
      <c r="E17" s="1"/>
      <c r="K17" s="6"/>
      <c r="L17" s="7"/>
      <c r="M17" s="8"/>
      <c r="N17" s="9"/>
      <c r="O17" s="9"/>
    </row>
    <row r="18" spans="1:15" x14ac:dyDescent="0.35">
      <c r="A18" t="s">
        <v>44</v>
      </c>
      <c r="K18" s="6"/>
      <c r="L18" s="7"/>
      <c r="M18" s="8"/>
      <c r="N18" s="9"/>
      <c r="O18" s="9"/>
    </row>
    <row r="19" spans="1:15" x14ac:dyDescent="0.35">
      <c r="B19" t="s">
        <v>42</v>
      </c>
      <c r="D19" t="s">
        <v>43</v>
      </c>
      <c r="H19" t="s">
        <v>42</v>
      </c>
      <c r="J19" t="s">
        <v>43</v>
      </c>
      <c r="K19" s="6"/>
      <c r="L19" s="7"/>
      <c r="M19" s="8"/>
      <c r="N19" s="9"/>
      <c r="O19" s="9"/>
    </row>
    <row r="20" spans="1:15" x14ac:dyDescent="0.35">
      <c r="A20" t="s">
        <v>4</v>
      </c>
      <c r="B20" t="str">
        <f>B5&amp;"-"&amp;C5</f>
        <v>em_r-el_r</v>
      </c>
      <c r="D20" t="str">
        <f>D5&amp;"-"&amp;E5</f>
        <v>cs_r-cw_r</v>
      </c>
      <c r="G20" t="s">
        <v>4</v>
      </c>
      <c r="H20">
        <f>ABS(H5-I5)</f>
        <v>0.875</v>
      </c>
      <c r="J20">
        <f>ABS(J5-K5)</f>
        <v>1</v>
      </c>
      <c r="K20" s="6"/>
      <c r="L20" s="7"/>
      <c r="M20" s="8"/>
      <c r="N20" s="9"/>
      <c r="O20" s="9"/>
    </row>
    <row r="21" spans="1:15" x14ac:dyDescent="0.35">
      <c r="A21" t="s">
        <v>5</v>
      </c>
      <c r="B21" t="str">
        <f>B6&amp;"-"&amp;C6</f>
        <v>em_u-el_u</v>
      </c>
      <c r="D21" t="str">
        <f>D6&amp;"-"&amp;E6</f>
        <v>cs_u-cw_u</v>
      </c>
      <c r="G21" t="s">
        <v>5</v>
      </c>
      <c r="H21">
        <f>ABS(H6-I6)</f>
        <v>0.875</v>
      </c>
      <c r="J21">
        <f>ABS(J6-K6)</f>
        <v>0.88900000000000001</v>
      </c>
      <c r="K21" s="6"/>
      <c r="L21" s="7"/>
      <c r="M21" s="8"/>
      <c r="N21" s="9"/>
      <c r="O21" s="9"/>
    </row>
    <row r="22" spans="1:15" x14ac:dyDescent="0.35">
      <c r="K22" s="6"/>
      <c r="L22" s="7"/>
      <c r="M22" s="8"/>
      <c r="N22" s="9"/>
      <c r="O22" s="9"/>
    </row>
    <row r="23" spans="1:15" x14ac:dyDescent="0.35">
      <c r="A23" t="s">
        <v>6</v>
      </c>
      <c r="B23" t="str">
        <f>B8&amp;"-"&amp;C8</f>
        <v>em_c-el_c</v>
      </c>
      <c r="D23" t="str">
        <f>D8&amp;"-"&amp;E8</f>
        <v>cs_c-cw_c</v>
      </c>
      <c r="G23" t="s">
        <v>6</v>
      </c>
      <c r="H23">
        <f>ABS(H8-I8)</f>
        <v>0.88900000000000001</v>
      </c>
      <c r="J23">
        <f>ABS(J8-K8)</f>
        <v>1</v>
      </c>
      <c r="K23" s="6"/>
      <c r="L23" s="7"/>
      <c r="M23" s="8"/>
      <c r="N23" s="9"/>
      <c r="O23" s="9"/>
    </row>
    <row r="24" spans="1:15" x14ac:dyDescent="0.35">
      <c r="A24" t="s">
        <v>7</v>
      </c>
      <c r="B24" t="str">
        <f>B9&amp;"-"&amp;C9</f>
        <v>em_o-el_o</v>
      </c>
      <c r="D24" t="str">
        <f>D9&amp;"-"&amp;E9</f>
        <v>cs_o-cw_o</v>
      </c>
      <c r="G24" t="s">
        <v>7</v>
      </c>
      <c r="H24">
        <f>ABS(H9-I9)</f>
        <v>0.375</v>
      </c>
      <c r="J24">
        <f>ABS(J9-K9)</f>
        <v>0.6</v>
      </c>
      <c r="K24" s="6"/>
      <c r="L24" s="7"/>
      <c r="M24" s="8"/>
      <c r="N24" s="9"/>
      <c r="O24" s="9"/>
    </row>
    <row r="25" spans="1:15" x14ac:dyDescent="0.35">
      <c r="K25" s="6"/>
      <c r="L25" s="7"/>
      <c r="M25" s="8"/>
      <c r="N25" s="9"/>
      <c r="O25" s="9"/>
    </row>
    <row r="26" spans="1:15" x14ac:dyDescent="0.35">
      <c r="A26" t="s">
        <v>8</v>
      </c>
      <c r="B26" t="str">
        <f>B11&amp;"-"&amp;C11</f>
        <v>em_n-el_n</v>
      </c>
      <c r="D26" t="str">
        <f>D11&amp;"-"&amp;E11</f>
        <v>cs_n-cw_n</v>
      </c>
      <c r="G26" t="s">
        <v>8</v>
      </c>
      <c r="H26">
        <f>ABS(H11-I11)</f>
        <v>1</v>
      </c>
      <c r="J26">
        <f>ABS(J11-K11)</f>
        <v>0.9</v>
      </c>
      <c r="K26" s="6"/>
      <c r="L26" s="7"/>
      <c r="M26" s="8"/>
      <c r="N26" s="9"/>
      <c r="O26" s="9"/>
    </row>
    <row r="27" spans="1:15" x14ac:dyDescent="0.35">
      <c r="K27" s="6"/>
      <c r="L27" s="7"/>
      <c r="M27" s="8"/>
      <c r="N27" s="9"/>
      <c r="O27" s="9"/>
    </row>
    <row r="28" spans="1:15" x14ac:dyDescent="0.35">
      <c r="A28" t="s">
        <v>9</v>
      </c>
      <c r="B28" t="str">
        <f>B13&amp;"-"&amp;C13</f>
        <v>em_l-el_l</v>
      </c>
      <c r="D28" t="str">
        <f>D13&amp;"-"&amp;E13</f>
        <v>cs_l-cs_l</v>
      </c>
      <c r="G28" t="s">
        <v>9</v>
      </c>
      <c r="H28">
        <f>ABS(H13-I13)</f>
        <v>0.875</v>
      </c>
      <c r="J28">
        <f>ABS(J13-K13)</f>
        <v>0.9</v>
      </c>
      <c r="K28" s="6"/>
      <c r="L28" s="7"/>
      <c r="M28" s="8"/>
      <c r="N28" s="9"/>
      <c r="O28" s="9"/>
    </row>
    <row r="29" spans="1:15" x14ac:dyDescent="0.35">
      <c r="K29" s="6"/>
      <c r="L29" s="7"/>
      <c r="M29" s="8"/>
      <c r="N29" s="9"/>
      <c r="O29" s="9"/>
    </row>
    <row r="30" spans="1:15" x14ac:dyDescent="0.35">
      <c r="A30" t="s">
        <v>38</v>
      </c>
      <c r="B30" t="str">
        <f>B15&amp;"-"&amp;C15</f>
        <v>em_i-el_i</v>
      </c>
      <c r="D30" t="str">
        <f>D15&amp;"-"&amp;E15</f>
        <v>cs_i-cw_i</v>
      </c>
      <c r="G30" t="s">
        <v>38</v>
      </c>
      <c r="H30">
        <f>ABS(H15-I15)</f>
        <v>0.5</v>
      </c>
      <c r="J30">
        <f>ABS(J15-K15)</f>
        <v>0.9</v>
      </c>
      <c r="K30" s="6"/>
      <c r="L30" s="7"/>
      <c r="M30" s="8"/>
      <c r="N30" s="9"/>
      <c r="O30" s="9"/>
    </row>
    <row r="32" spans="1:15" x14ac:dyDescent="0.35">
      <c r="A32" t="s">
        <v>45</v>
      </c>
    </row>
    <row r="33" spans="1:10" x14ac:dyDescent="0.35">
      <c r="A33" t="s">
        <v>46</v>
      </c>
    </row>
    <row r="34" spans="1:10" x14ac:dyDescent="0.35">
      <c r="A34" t="s">
        <v>47</v>
      </c>
    </row>
    <row r="35" spans="1:10" x14ac:dyDescent="0.35">
      <c r="A35" t="s">
        <v>52</v>
      </c>
    </row>
    <row r="36" spans="1:10" x14ac:dyDescent="0.35">
      <c r="A36" t="s">
        <v>48</v>
      </c>
    </row>
    <row r="37" spans="1:10" x14ac:dyDescent="0.35">
      <c r="A37" t="s">
        <v>49</v>
      </c>
    </row>
    <row r="38" spans="1:10" x14ac:dyDescent="0.35">
      <c r="B38" t="s">
        <v>42</v>
      </c>
      <c r="D38" t="s">
        <v>43</v>
      </c>
      <c r="H38" t="s">
        <v>42</v>
      </c>
      <c r="J38" t="s">
        <v>43</v>
      </c>
    </row>
    <row r="39" spans="1:10" x14ac:dyDescent="0.35">
      <c r="A39" t="s">
        <v>50</v>
      </c>
      <c r="B39" t="str">
        <f>"("&amp;B20&amp;"+"&amp;B21&amp;")/2"</f>
        <v>(em_r-el_r+em_u-el_u)/2</v>
      </c>
      <c r="D39" t="str">
        <f>"("&amp;D20&amp;"+"&amp;D21&amp;")/2"</f>
        <v>(cs_r-cw_r+cs_u-cw_u)/2</v>
      </c>
      <c r="G39" t="s">
        <v>50</v>
      </c>
      <c r="H39">
        <f>AVERAGE(H20:H21)</f>
        <v>0.875</v>
      </c>
      <c r="J39">
        <f>AVERAGE(J20:J21)</f>
        <v>0.94450000000000001</v>
      </c>
    </row>
    <row r="41" spans="1:10" x14ac:dyDescent="0.35">
      <c r="A41" t="s">
        <v>51</v>
      </c>
      <c r="B41" t="str">
        <f>"("&amp;B23&amp;"+"&amp;B24&amp;")/2"</f>
        <v>(em_c-el_c+em_o-el_o)/2</v>
      </c>
      <c r="D41" t="str">
        <f>"("&amp;D23&amp;"+"&amp;D24&amp;")/2"</f>
        <v>(cs_c-cw_c+cs_o-cw_o)/2</v>
      </c>
      <c r="G41" t="s">
        <v>51</v>
      </c>
      <c r="H41">
        <f>AVERAGE(H23:H24)</f>
        <v>0.63200000000000001</v>
      </c>
      <c r="J41">
        <f>AVERAGE(J23:J24)</f>
        <v>0.8</v>
      </c>
    </row>
    <row r="43" spans="1:10" x14ac:dyDescent="0.35">
      <c r="A43" t="s">
        <v>8</v>
      </c>
      <c r="B43" t="s">
        <v>53</v>
      </c>
      <c r="D43" t="s">
        <v>54</v>
      </c>
      <c r="G43" t="s">
        <v>8</v>
      </c>
      <c r="H43">
        <v>1</v>
      </c>
      <c r="J43">
        <v>0.9</v>
      </c>
    </row>
    <row r="45" spans="1:10" x14ac:dyDescent="0.35">
      <c r="A45" t="s">
        <v>9</v>
      </c>
      <c r="B45" t="s">
        <v>55</v>
      </c>
      <c r="D45" t="s">
        <v>56</v>
      </c>
      <c r="G45" t="s">
        <v>9</v>
      </c>
      <c r="H45">
        <v>0.875</v>
      </c>
      <c r="J45">
        <v>0.9</v>
      </c>
    </row>
    <row r="47" spans="1:10" x14ac:dyDescent="0.35">
      <c r="A47" t="s">
        <v>38</v>
      </c>
      <c r="B47" t="s">
        <v>57</v>
      </c>
      <c r="D47" t="s">
        <v>58</v>
      </c>
      <c r="G47" t="s">
        <v>38</v>
      </c>
      <c r="H47">
        <v>0.5</v>
      </c>
      <c r="J47">
        <v>0.9</v>
      </c>
    </row>
    <row r="49" spans="1:9" x14ac:dyDescent="0.35">
      <c r="A49" t="s">
        <v>59</v>
      </c>
    </row>
    <row r="50" spans="1:9" x14ac:dyDescent="0.35">
      <c r="A50" t="s">
        <v>60</v>
      </c>
    </row>
    <row r="51" spans="1:9" x14ac:dyDescent="0.35">
      <c r="A51" t="s">
        <v>61</v>
      </c>
    </row>
    <row r="53" spans="1:9" x14ac:dyDescent="0.35">
      <c r="A53" t="s">
        <v>62</v>
      </c>
    </row>
    <row r="54" spans="1:9" x14ac:dyDescent="0.35">
      <c r="A54" t="s">
        <v>63</v>
      </c>
    </row>
    <row r="55" spans="1:9" x14ac:dyDescent="0.35">
      <c r="A55" t="s">
        <v>64</v>
      </c>
    </row>
    <row r="56" spans="1:9" x14ac:dyDescent="0.35">
      <c r="A56" t="s">
        <v>65</v>
      </c>
    </row>
    <row r="58" spans="1:9" x14ac:dyDescent="0.35">
      <c r="A58" t="s">
        <v>66</v>
      </c>
    </row>
    <row r="59" spans="1:9" x14ac:dyDescent="0.35">
      <c r="A59" t="s">
        <v>72</v>
      </c>
    </row>
    <row r="61" spans="1:9" x14ac:dyDescent="0.35">
      <c r="C61" t="s">
        <v>42</v>
      </c>
      <c r="D61" t="s">
        <v>71</v>
      </c>
      <c r="H61" t="s">
        <v>43</v>
      </c>
      <c r="I61" t="s">
        <v>71</v>
      </c>
    </row>
    <row r="62" spans="1:9" x14ac:dyDescent="0.35">
      <c r="A62" s="15" t="s">
        <v>67</v>
      </c>
      <c r="B62">
        <v>0.91</v>
      </c>
      <c r="C62">
        <v>0.5</v>
      </c>
      <c r="D62">
        <f>B62*C62</f>
        <v>0.45500000000000002</v>
      </c>
      <c r="G62">
        <v>0.91</v>
      </c>
      <c r="H62">
        <v>0.9</v>
      </c>
      <c r="I62">
        <f>G62*H62</f>
        <v>0.81900000000000006</v>
      </c>
    </row>
    <row r="63" spans="1:9" x14ac:dyDescent="0.35">
      <c r="A63" s="15" t="s">
        <v>68</v>
      </c>
      <c r="B63">
        <v>0.64</v>
      </c>
      <c r="C63">
        <v>0.5</v>
      </c>
      <c r="D63">
        <f t="shared" ref="D63:D65" si="0">B63*C63</f>
        <v>0.32</v>
      </c>
      <c r="G63">
        <v>0.64</v>
      </c>
      <c r="H63">
        <v>0.9</v>
      </c>
      <c r="I63">
        <f t="shared" ref="I63:I65" si="1">G63*H63</f>
        <v>0.57600000000000007</v>
      </c>
    </row>
    <row r="64" spans="1:9" x14ac:dyDescent="0.35">
      <c r="A64" s="15" t="s">
        <v>69</v>
      </c>
      <c r="B64">
        <v>1.06</v>
      </c>
      <c r="C64">
        <v>0.5</v>
      </c>
      <c r="D64">
        <f t="shared" si="0"/>
        <v>0.53</v>
      </c>
      <c r="G64">
        <v>1.06</v>
      </c>
      <c r="H64">
        <v>0.9</v>
      </c>
      <c r="I64">
        <f t="shared" si="1"/>
        <v>0.95400000000000007</v>
      </c>
    </row>
    <row r="65" spans="1:9" x14ac:dyDescent="0.35">
      <c r="A65" s="16" t="s">
        <v>70</v>
      </c>
      <c r="B65">
        <v>0.76</v>
      </c>
      <c r="C65">
        <v>0.5</v>
      </c>
      <c r="D65">
        <f t="shared" si="0"/>
        <v>0.38</v>
      </c>
      <c r="G65">
        <v>0.76</v>
      </c>
      <c r="H65">
        <v>0.9</v>
      </c>
      <c r="I65">
        <f t="shared" si="1"/>
        <v>0.68400000000000005</v>
      </c>
    </row>
    <row r="66" spans="1:9" x14ac:dyDescent="0.35">
      <c r="A66" s="15"/>
    </row>
    <row r="67" spans="1:9" x14ac:dyDescent="0.35">
      <c r="A67" s="17" t="s">
        <v>73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Coppedge</dc:creator>
  <cp:lastModifiedBy>Patrick McQuestion</cp:lastModifiedBy>
  <dcterms:created xsi:type="dcterms:W3CDTF">2024-04-25T19:50:39Z</dcterms:created>
  <dcterms:modified xsi:type="dcterms:W3CDTF">2024-05-09T18:45:20Z</dcterms:modified>
</cp:coreProperties>
</file>