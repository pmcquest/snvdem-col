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snvdem\snvdem24\data\geospatial\2018pmq\coders\"/>
    </mc:Choice>
  </mc:AlternateContent>
  <xr:revisionPtr revIDLastSave="0" documentId="13_ncr:1_{A4812983-1971-497E-BCF1-779BE5E08F0B}" xr6:coauthVersionLast="47" xr6:coauthVersionMax="47" xr10:uidLastSave="{00000000-0000-0000-0000-000000000000}"/>
  <bookViews>
    <workbookView xWindow="-110" yWindow="-110" windowWidth="19420" windowHeight="10300" activeTab="3" xr2:uid="{F898DFE6-5156-4162-9CA0-0C457E207F58}"/>
  </bookViews>
  <sheets>
    <sheet name="EL" sheetId="1" r:id="rId1"/>
    <sheet name="CL" sheetId="2" r:id="rId2"/>
    <sheet name="Summaries" sheetId="4" r:id="rId3"/>
    <sheet name="Pivot" sheetId="5" r:id="rId4"/>
  </sheets>
  <calcPr calcId="191029"/>
  <pivotCaches>
    <pivotCache cacheId="2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4" i="4" l="1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A2" i="2"/>
  <c r="G2" i="4" s="1"/>
  <c r="AA3" i="2"/>
  <c r="AA4" i="2"/>
  <c r="AA5" i="2"/>
  <c r="AA6" i="2"/>
  <c r="AA7" i="2"/>
  <c r="AA8" i="2"/>
  <c r="AC8" i="2" s="1"/>
  <c r="AA9" i="2"/>
  <c r="AA10" i="2"/>
  <c r="G10" i="4" s="1"/>
  <c r="AA11" i="2"/>
  <c r="AA12" i="2"/>
  <c r="AC12" i="2" s="1"/>
  <c r="AA13" i="2"/>
  <c r="G13" i="4" s="1"/>
  <c r="AA14" i="2"/>
  <c r="G14" i="4" s="1"/>
  <c r="AA15" i="2"/>
  <c r="G15" i="4" s="1"/>
  <c r="AA16" i="2"/>
  <c r="AA17" i="2"/>
  <c r="AA18" i="2"/>
  <c r="AA19" i="2"/>
  <c r="AA20" i="2"/>
  <c r="AC20" i="2" s="1"/>
  <c r="AA21" i="2"/>
  <c r="AA22" i="2"/>
  <c r="G22" i="4" s="1"/>
  <c r="AA23" i="2"/>
  <c r="AA24" i="2"/>
  <c r="AC24" i="2" s="1"/>
  <c r="AA25" i="2"/>
  <c r="G25" i="4" s="1"/>
  <c r="AA26" i="2"/>
  <c r="AA27" i="2"/>
  <c r="G27" i="4" s="1"/>
  <c r="AA28" i="2"/>
  <c r="AA29" i="2"/>
  <c r="AA30" i="2"/>
  <c r="AA31" i="2"/>
  <c r="AA32" i="2"/>
  <c r="AC32" i="2" s="1"/>
  <c r="AA33" i="2"/>
  <c r="AA34" i="2"/>
  <c r="G34" i="4" s="1"/>
  <c r="AA35" i="2"/>
  <c r="AA36" i="2"/>
  <c r="AC36" i="2" s="1"/>
  <c r="AA37" i="2"/>
  <c r="G37" i="4" s="1"/>
  <c r="AA38" i="2"/>
  <c r="AA39" i="2"/>
  <c r="G39" i="4" s="1"/>
  <c r="AA40" i="2"/>
  <c r="AA41" i="2"/>
  <c r="AA42" i="2"/>
  <c r="AA43" i="2"/>
  <c r="AA44" i="2"/>
  <c r="AC44" i="2" s="1"/>
  <c r="AA45" i="2"/>
  <c r="AA46" i="2"/>
  <c r="G46" i="4" s="1"/>
  <c r="AA47" i="2"/>
  <c r="AA48" i="2"/>
  <c r="AC48" i="2" s="1"/>
  <c r="AA49" i="2"/>
  <c r="G49" i="4" s="1"/>
  <c r="AA50" i="2"/>
  <c r="AA51" i="2"/>
  <c r="G51" i="4" s="1"/>
  <c r="AA52" i="2"/>
  <c r="AA53" i="2"/>
  <c r="AA54" i="2"/>
  <c r="AA55" i="2"/>
  <c r="AA56" i="2"/>
  <c r="AC56" i="2" s="1"/>
  <c r="AA57" i="2"/>
  <c r="AA58" i="2"/>
  <c r="G58" i="4" s="1"/>
  <c r="AA59" i="2"/>
  <c r="AA60" i="2"/>
  <c r="AC60" i="2" s="1"/>
  <c r="AA61" i="2"/>
  <c r="G61" i="4" s="1"/>
  <c r="AA62" i="2"/>
  <c r="AC62" i="2" s="1"/>
  <c r="AA63" i="2"/>
  <c r="G63" i="4" s="1"/>
  <c r="AA64" i="2"/>
  <c r="AA65" i="2"/>
  <c r="AA66" i="2"/>
  <c r="AA67" i="2"/>
  <c r="AA68" i="2"/>
  <c r="AC68" i="2" s="1"/>
  <c r="AA69" i="2"/>
  <c r="AA70" i="2"/>
  <c r="G70" i="4" s="1"/>
  <c r="AA71" i="2"/>
  <c r="AA72" i="2"/>
  <c r="AC72" i="2" s="1"/>
  <c r="AA73" i="2"/>
  <c r="G73" i="4" s="1"/>
  <c r="AA74" i="2"/>
  <c r="AC74" i="2" s="1"/>
  <c r="AA75" i="2"/>
  <c r="G75" i="4" s="1"/>
  <c r="AA76" i="2"/>
  <c r="AA77" i="2"/>
  <c r="AA78" i="2"/>
  <c r="AA79" i="2"/>
  <c r="AA80" i="2"/>
  <c r="AC80" i="2" s="1"/>
  <c r="AA81" i="2"/>
  <c r="AA82" i="2"/>
  <c r="G82" i="4" s="1"/>
  <c r="AA83" i="2"/>
  <c r="AA84" i="2"/>
  <c r="AC84" i="2" s="1"/>
  <c r="AA85" i="2"/>
  <c r="G85" i="4" s="1"/>
  <c r="AA86" i="2"/>
  <c r="AC86" i="2" s="1"/>
  <c r="AA87" i="2"/>
  <c r="G87" i="4" s="1"/>
  <c r="AA88" i="2"/>
  <c r="AA89" i="2"/>
  <c r="AA90" i="2"/>
  <c r="AA91" i="2"/>
  <c r="AA92" i="2"/>
  <c r="AC92" i="2" s="1"/>
  <c r="AA93" i="2"/>
  <c r="AA94" i="2"/>
  <c r="G94" i="4" s="1"/>
  <c r="AA95" i="2"/>
  <c r="AA96" i="2"/>
  <c r="AC96" i="2" s="1"/>
  <c r="AA97" i="2"/>
  <c r="G97" i="4" s="1"/>
  <c r="AA98" i="2"/>
  <c r="AC98" i="2" s="1"/>
  <c r="AA99" i="2"/>
  <c r="G99" i="4" s="1"/>
  <c r="AA100" i="2"/>
  <c r="AA101" i="2"/>
  <c r="AA102" i="2"/>
  <c r="AA103" i="2"/>
  <c r="AA104" i="2"/>
  <c r="AC104" i="2" s="1"/>
  <c r="AA105" i="2"/>
  <c r="AA106" i="2"/>
  <c r="G106" i="4" s="1"/>
  <c r="AA107" i="2"/>
  <c r="AA108" i="2"/>
  <c r="AC108" i="2" s="1"/>
  <c r="AA109" i="2"/>
  <c r="G109" i="4" s="1"/>
  <c r="AA110" i="2"/>
  <c r="AC110" i="2" s="1"/>
  <c r="AA111" i="2"/>
  <c r="G111" i="4" s="1"/>
  <c r="AA112" i="2"/>
  <c r="AA113" i="2"/>
  <c r="AA114" i="2"/>
  <c r="AA115" i="2"/>
  <c r="AA116" i="2"/>
  <c r="AC116" i="2" s="1"/>
  <c r="AA117" i="2"/>
  <c r="AA118" i="2"/>
  <c r="G118" i="4" s="1"/>
  <c r="AA119" i="2"/>
  <c r="AA120" i="2"/>
  <c r="AC120" i="2" s="1"/>
  <c r="AA121" i="2"/>
  <c r="G121" i="4" s="1"/>
  <c r="AA122" i="2"/>
  <c r="AC122" i="2" s="1"/>
  <c r="AA123" i="2"/>
  <c r="G123" i="4" s="1"/>
  <c r="AA124" i="2"/>
  <c r="AB2" i="1"/>
  <c r="D2" i="4" s="1"/>
  <c r="AB3" i="1"/>
  <c r="AD3" i="1" s="1"/>
  <c r="AB4" i="1"/>
  <c r="AB5" i="1"/>
  <c r="AD5" i="1" s="1"/>
  <c r="AB6" i="1"/>
  <c r="AB7" i="1"/>
  <c r="AB8" i="1"/>
  <c r="AD8" i="1" s="1"/>
  <c r="AB9" i="1"/>
  <c r="AD9" i="1" s="1"/>
  <c r="AB10" i="1"/>
  <c r="AD10" i="1" s="1"/>
  <c r="AB11" i="1"/>
  <c r="AD11" i="1" s="1"/>
  <c r="AB12" i="1"/>
  <c r="AD12" i="1" s="1"/>
  <c r="AB13" i="1"/>
  <c r="AB14" i="1"/>
  <c r="AD14" i="1" s="1"/>
  <c r="AB15" i="1"/>
  <c r="AD15" i="1" s="1"/>
  <c r="AB16" i="1"/>
  <c r="AB17" i="1"/>
  <c r="AD17" i="1" s="1"/>
  <c r="AB18" i="1"/>
  <c r="AB19" i="1"/>
  <c r="AD19" i="1" s="1"/>
  <c r="AB20" i="1"/>
  <c r="AD20" i="1" s="1"/>
  <c r="AB21" i="1"/>
  <c r="AD21" i="1" s="1"/>
  <c r="AB22" i="1"/>
  <c r="AD22" i="1" s="1"/>
  <c r="AB23" i="1"/>
  <c r="AD23" i="1" s="1"/>
  <c r="AB24" i="1"/>
  <c r="AD24" i="1" s="1"/>
  <c r="AB25" i="1"/>
  <c r="AB26" i="1"/>
  <c r="AD26" i="1" s="1"/>
  <c r="AB27" i="1"/>
  <c r="AD27" i="1" s="1"/>
  <c r="AB28" i="1"/>
  <c r="AD28" i="1" s="1"/>
  <c r="AB29" i="1"/>
  <c r="AD29" i="1" s="1"/>
  <c r="AB30" i="1"/>
  <c r="AB31" i="1"/>
  <c r="AB32" i="1"/>
  <c r="AD32" i="1" s="1"/>
  <c r="AB33" i="1"/>
  <c r="AD33" i="1" s="1"/>
  <c r="AB34" i="1"/>
  <c r="AD34" i="1" s="1"/>
  <c r="AB35" i="1"/>
  <c r="AD35" i="1" s="1"/>
  <c r="AB36" i="1"/>
  <c r="AD36" i="1" s="1"/>
  <c r="AB37" i="1"/>
  <c r="AB38" i="1"/>
  <c r="AD38" i="1" s="1"/>
  <c r="AB39" i="1"/>
  <c r="AD39" i="1" s="1"/>
  <c r="AB40" i="1"/>
  <c r="AD40" i="1" s="1"/>
  <c r="AB41" i="1"/>
  <c r="AD41" i="1" s="1"/>
  <c r="AB42" i="1"/>
  <c r="AD42" i="1" s="1"/>
  <c r="AB43" i="1"/>
  <c r="AC43" i="1" s="1"/>
  <c r="AB44" i="1"/>
  <c r="AD44" i="1" s="1"/>
  <c r="AB45" i="1"/>
  <c r="AD45" i="1" s="1"/>
  <c r="AB46" i="1"/>
  <c r="AD46" i="1" s="1"/>
  <c r="AB47" i="1"/>
  <c r="AD47" i="1" s="1"/>
  <c r="AB48" i="1"/>
  <c r="AD48" i="1" s="1"/>
  <c r="AB49" i="1"/>
  <c r="AB50" i="1"/>
  <c r="AD50" i="1" s="1"/>
  <c r="AB51" i="1"/>
  <c r="AD51" i="1" s="1"/>
  <c r="AB52" i="1"/>
  <c r="AD52" i="1" s="1"/>
  <c r="AB53" i="1"/>
  <c r="AD53" i="1" s="1"/>
  <c r="AB54" i="1"/>
  <c r="AD54" i="1" s="1"/>
  <c r="AB55" i="1"/>
  <c r="AD55" i="1" s="1"/>
  <c r="AB56" i="1"/>
  <c r="AD56" i="1" s="1"/>
  <c r="AB57" i="1"/>
  <c r="AD57" i="1" s="1"/>
  <c r="AB58" i="1"/>
  <c r="AD58" i="1" s="1"/>
  <c r="AB59" i="1"/>
  <c r="AD59" i="1" s="1"/>
  <c r="AB60" i="1"/>
  <c r="AD60" i="1" s="1"/>
  <c r="AB61" i="1"/>
  <c r="AB62" i="1"/>
  <c r="AB63" i="1"/>
  <c r="AD63" i="1" s="1"/>
  <c r="AB64" i="1"/>
  <c r="AD64" i="1" s="1"/>
  <c r="AB65" i="1"/>
  <c r="AD65" i="1" s="1"/>
  <c r="AB66" i="1"/>
  <c r="AD66" i="1" s="1"/>
  <c r="AB67" i="1"/>
  <c r="AD67" i="1" s="1"/>
  <c r="AB68" i="1"/>
  <c r="AD68" i="1" s="1"/>
  <c r="AB69" i="1"/>
  <c r="AD69" i="1" s="1"/>
  <c r="AB70" i="1"/>
  <c r="AD70" i="1" s="1"/>
  <c r="AB71" i="1"/>
  <c r="AD71" i="1" s="1"/>
  <c r="AB72" i="1"/>
  <c r="AD72" i="1" s="1"/>
  <c r="AB73" i="1"/>
  <c r="AB74" i="1"/>
  <c r="AD74" i="1" s="1"/>
  <c r="AB75" i="1"/>
  <c r="AD75" i="1" s="1"/>
  <c r="AB76" i="1"/>
  <c r="AD76" i="1" s="1"/>
  <c r="AB77" i="1"/>
  <c r="AD77" i="1" s="1"/>
  <c r="AB78" i="1"/>
  <c r="AD78" i="1" s="1"/>
  <c r="AB79" i="1"/>
  <c r="AB80" i="1"/>
  <c r="AD80" i="1" s="1"/>
  <c r="AB81" i="1"/>
  <c r="AD81" i="1" s="1"/>
  <c r="AB82" i="1"/>
  <c r="AD82" i="1" s="1"/>
  <c r="AB83" i="1"/>
  <c r="AD83" i="1" s="1"/>
  <c r="AB84" i="1"/>
  <c r="AD84" i="1" s="1"/>
  <c r="AB85" i="1"/>
  <c r="AB86" i="1"/>
  <c r="AD86" i="1" s="1"/>
  <c r="AB87" i="1"/>
  <c r="AD87" i="1" s="1"/>
  <c r="AB88" i="1"/>
  <c r="AD88" i="1" s="1"/>
  <c r="AB89" i="1"/>
  <c r="AD89" i="1" s="1"/>
  <c r="AB90" i="1"/>
  <c r="AD90" i="1" s="1"/>
  <c r="AB91" i="1"/>
  <c r="AB92" i="1"/>
  <c r="AD92" i="1" s="1"/>
  <c r="AB93" i="1"/>
  <c r="AD93" i="1" s="1"/>
  <c r="AB94" i="1"/>
  <c r="AD94" i="1" s="1"/>
  <c r="AB95" i="1"/>
  <c r="AD95" i="1" s="1"/>
  <c r="AB96" i="1"/>
  <c r="AD96" i="1" s="1"/>
  <c r="AB97" i="1"/>
  <c r="AB98" i="1"/>
  <c r="AD98" i="1" s="1"/>
  <c r="AB99" i="1"/>
  <c r="AD99" i="1" s="1"/>
  <c r="AB100" i="1"/>
  <c r="AD100" i="1" s="1"/>
  <c r="AB101" i="1"/>
  <c r="AD101" i="1" s="1"/>
  <c r="AB102" i="1"/>
  <c r="AD102" i="1" s="1"/>
  <c r="AB103" i="1"/>
  <c r="AB104" i="1"/>
  <c r="AD104" i="1" s="1"/>
  <c r="AB105" i="1"/>
  <c r="AD105" i="1" s="1"/>
  <c r="AB106" i="1"/>
  <c r="AD106" i="1" s="1"/>
  <c r="AB107" i="1"/>
  <c r="AD107" i="1" s="1"/>
  <c r="AB108" i="1"/>
  <c r="AD108" i="1" s="1"/>
  <c r="AB109" i="1"/>
  <c r="AB110" i="1"/>
  <c r="AD110" i="1" s="1"/>
  <c r="AB111" i="1"/>
  <c r="AD111" i="1" s="1"/>
  <c r="AB112" i="1"/>
  <c r="AD112" i="1" s="1"/>
  <c r="AB113" i="1"/>
  <c r="AD113" i="1" s="1"/>
  <c r="AB114" i="1"/>
  <c r="AD114" i="1" s="1"/>
  <c r="AB115" i="1"/>
  <c r="AD115" i="1" s="1"/>
  <c r="AB116" i="1"/>
  <c r="AD116" i="1" s="1"/>
  <c r="AB117" i="1"/>
  <c r="AD117" i="1" s="1"/>
  <c r="AB118" i="1"/>
  <c r="AD118" i="1" s="1"/>
  <c r="AB119" i="1"/>
  <c r="AD119" i="1" s="1"/>
  <c r="AB120" i="1"/>
  <c r="AD120" i="1" s="1"/>
  <c r="AB121" i="1"/>
  <c r="AB122" i="1"/>
  <c r="AD122" i="1" s="1"/>
  <c r="AB123" i="1"/>
  <c r="AD123" i="1" s="1"/>
  <c r="AB124" i="1"/>
  <c r="AD124" i="1" s="1"/>
  <c r="D73" i="4" l="1"/>
  <c r="D13" i="4"/>
  <c r="D25" i="4"/>
  <c r="AC49" i="1"/>
  <c r="D61" i="4"/>
  <c r="AC37" i="1"/>
  <c r="D121" i="4"/>
  <c r="D109" i="4"/>
  <c r="D85" i="4"/>
  <c r="AC97" i="1"/>
  <c r="AC113" i="2"/>
  <c r="AC101" i="2"/>
  <c r="AC89" i="2"/>
  <c r="AC77" i="2"/>
  <c r="AC65" i="2"/>
  <c r="AC53" i="2"/>
  <c r="AC41" i="2"/>
  <c r="AC29" i="2"/>
  <c r="AC17" i="2"/>
  <c r="AC5" i="2"/>
  <c r="AD62" i="1"/>
  <c r="AC16" i="1"/>
  <c r="AC4" i="1"/>
  <c r="AC124" i="2"/>
  <c r="AC112" i="2"/>
  <c r="AC100" i="2"/>
  <c r="AC88" i="2"/>
  <c r="AC76" i="2"/>
  <c r="AC64" i="2"/>
  <c r="AC52" i="2"/>
  <c r="AC40" i="2"/>
  <c r="AC28" i="2"/>
  <c r="AC16" i="2"/>
  <c r="AC4" i="2"/>
  <c r="G38" i="4"/>
  <c r="G26" i="4"/>
  <c r="AC114" i="2"/>
  <c r="AC102" i="2"/>
  <c r="AC90" i="2"/>
  <c r="AC78" i="2"/>
  <c r="AC66" i="2"/>
  <c r="AC54" i="2"/>
  <c r="AC42" i="2"/>
  <c r="AC30" i="2"/>
  <c r="AC18" i="2"/>
  <c r="AC6" i="2"/>
  <c r="G3" i="4"/>
  <c r="G50" i="4"/>
  <c r="AC107" i="2"/>
  <c r="AC95" i="2"/>
  <c r="AC59" i="2"/>
  <c r="AC47" i="2"/>
  <c r="AC35" i="2"/>
  <c r="AC23" i="2"/>
  <c r="AC11" i="2"/>
  <c r="AC119" i="2"/>
  <c r="AC71" i="2"/>
  <c r="AC121" i="2"/>
  <c r="AC109" i="2"/>
  <c r="AC97" i="2"/>
  <c r="AC73" i="2"/>
  <c r="AC49" i="2"/>
  <c r="AC37" i="2"/>
  <c r="AC83" i="2"/>
  <c r="AC117" i="2"/>
  <c r="AC105" i="2"/>
  <c r="AC93" i="2"/>
  <c r="AC81" i="2"/>
  <c r="AC69" i="2"/>
  <c r="AC57" i="2"/>
  <c r="AC45" i="2"/>
  <c r="AC33" i="2"/>
  <c r="AC21" i="2"/>
  <c r="AC9" i="2"/>
  <c r="G6" i="4"/>
  <c r="G18" i="4"/>
  <c r="G30" i="4"/>
  <c r="G42" i="4"/>
  <c r="G54" i="4"/>
  <c r="G62" i="4"/>
  <c r="G66" i="4"/>
  <c r="G74" i="4"/>
  <c r="G78" i="4"/>
  <c r="G86" i="4"/>
  <c r="G90" i="4"/>
  <c r="G98" i="4"/>
  <c r="G102" i="4"/>
  <c r="G110" i="4"/>
  <c r="G114" i="4"/>
  <c r="G122" i="4"/>
  <c r="AC115" i="2"/>
  <c r="AC103" i="2"/>
  <c r="AC91" i="2"/>
  <c r="AC79" i="2"/>
  <c r="AC67" i="2"/>
  <c r="AC55" i="2"/>
  <c r="AC43" i="2"/>
  <c r="AC31" i="2"/>
  <c r="AC19" i="2"/>
  <c r="AC7" i="2"/>
  <c r="AC118" i="2"/>
  <c r="AC106" i="2"/>
  <c r="AC94" i="2"/>
  <c r="AC82" i="2"/>
  <c r="AC70" i="2"/>
  <c r="AC58" i="2"/>
  <c r="AC46" i="2"/>
  <c r="AC34" i="2"/>
  <c r="AC22" i="2"/>
  <c r="AC10" i="2"/>
  <c r="AC85" i="2"/>
  <c r="G7" i="4"/>
  <c r="G11" i="4"/>
  <c r="G19" i="4"/>
  <c r="G23" i="4"/>
  <c r="G31" i="4"/>
  <c r="G35" i="4"/>
  <c r="G43" i="4"/>
  <c r="G47" i="4"/>
  <c r="G55" i="4"/>
  <c r="G59" i="4"/>
  <c r="G67" i="4"/>
  <c r="G71" i="4"/>
  <c r="G79" i="4"/>
  <c r="G83" i="4"/>
  <c r="G91" i="4"/>
  <c r="G95" i="4"/>
  <c r="G103" i="4"/>
  <c r="G107" i="4"/>
  <c r="G115" i="4"/>
  <c r="G119" i="4"/>
  <c r="AC61" i="2"/>
  <c r="G4" i="4"/>
  <c r="G8" i="4"/>
  <c r="G12" i="4"/>
  <c r="G16" i="4"/>
  <c r="G20" i="4"/>
  <c r="G24" i="4"/>
  <c r="G28" i="4"/>
  <c r="G32" i="4"/>
  <c r="G36" i="4"/>
  <c r="G40" i="4"/>
  <c r="G44" i="4"/>
  <c r="G48" i="4"/>
  <c r="G52" i="4"/>
  <c r="G56" i="4"/>
  <c r="G60" i="4"/>
  <c r="G64" i="4"/>
  <c r="G68" i="4"/>
  <c r="G72" i="4"/>
  <c r="G76" i="4"/>
  <c r="G80" i="4"/>
  <c r="G84" i="4"/>
  <c r="G88" i="4"/>
  <c r="G92" i="4"/>
  <c r="G96" i="4"/>
  <c r="G100" i="4"/>
  <c r="G104" i="4"/>
  <c r="G108" i="4"/>
  <c r="G112" i="4"/>
  <c r="G116" i="4"/>
  <c r="G120" i="4"/>
  <c r="G124" i="4"/>
  <c r="AC111" i="2"/>
  <c r="AC75" i="2"/>
  <c r="AC39" i="2"/>
  <c r="AC3" i="2"/>
  <c r="AC123" i="2"/>
  <c r="AC87" i="2"/>
  <c r="AC51" i="2"/>
  <c r="AC15" i="2"/>
  <c r="AC50" i="2"/>
  <c r="AC38" i="2"/>
  <c r="AC26" i="2"/>
  <c r="AC14" i="2"/>
  <c r="AC2" i="2"/>
  <c r="AC25" i="2"/>
  <c r="AC99" i="2"/>
  <c r="AC63" i="2"/>
  <c r="AC27" i="2"/>
  <c r="AC13" i="2"/>
  <c r="G5" i="4"/>
  <c r="G9" i="4"/>
  <c r="G17" i="4"/>
  <c r="G21" i="4"/>
  <c r="G29" i="4"/>
  <c r="G33" i="4"/>
  <c r="G41" i="4"/>
  <c r="G45" i="4"/>
  <c r="G53" i="4"/>
  <c r="G57" i="4"/>
  <c r="G65" i="4"/>
  <c r="G69" i="4"/>
  <c r="G77" i="4"/>
  <c r="G81" i="4"/>
  <c r="G89" i="4"/>
  <c r="G93" i="4"/>
  <c r="G101" i="4"/>
  <c r="G105" i="4"/>
  <c r="G113" i="4"/>
  <c r="G117" i="4"/>
  <c r="AD121" i="1"/>
  <c r="AD109" i="1"/>
  <c r="AD49" i="1"/>
  <c r="AD37" i="1"/>
  <c r="AD25" i="1"/>
  <c r="AD13" i="1"/>
  <c r="AD97" i="1"/>
  <c r="AD85" i="1"/>
  <c r="AD73" i="1"/>
  <c r="AD61" i="1"/>
  <c r="D30" i="4"/>
  <c r="AC18" i="1"/>
  <c r="D6" i="4"/>
  <c r="AC31" i="1"/>
  <c r="AC79" i="1"/>
  <c r="AC103" i="1"/>
  <c r="AC7" i="1"/>
  <c r="AC91" i="1"/>
  <c r="AD103" i="1"/>
  <c r="AD91" i="1"/>
  <c r="AD79" i="1"/>
  <c r="AD43" i="1"/>
  <c r="AD31" i="1"/>
  <c r="AD7" i="1"/>
  <c r="AC19" i="1"/>
  <c r="AD30" i="1"/>
  <c r="AD18" i="1"/>
  <c r="AD6" i="1"/>
  <c r="AD16" i="1"/>
  <c r="AD4" i="1"/>
  <c r="AC67" i="1"/>
  <c r="AD2" i="1"/>
  <c r="AC115" i="1"/>
  <c r="AC55" i="1"/>
  <c r="D12" i="4"/>
  <c r="AC24" i="1"/>
  <c r="AC119" i="1"/>
  <c r="D119" i="4"/>
  <c r="AC98" i="1"/>
  <c r="D98" i="4"/>
  <c r="D88" i="4"/>
  <c r="AC88" i="1"/>
  <c r="D78" i="4"/>
  <c r="AC78" i="1"/>
  <c r="D57" i="4"/>
  <c r="AC57" i="1"/>
  <c r="AC47" i="1"/>
  <c r="D47" i="4"/>
  <c r="AC27" i="1"/>
  <c r="D27" i="4"/>
  <c r="D10" i="4"/>
  <c r="AC10" i="1"/>
  <c r="D118" i="4"/>
  <c r="AC118" i="1"/>
  <c r="D108" i="4"/>
  <c r="AC108" i="1"/>
  <c r="AC87" i="1"/>
  <c r="D87" i="4"/>
  <c r="D77" i="4"/>
  <c r="AC77" i="1"/>
  <c r="AC56" i="1"/>
  <c r="D56" i="4"/>
  <c r="D46" i="4"/>
  <c r="AC46" i="1"/>
  <c r="AC36" i="1"/>
  <c r="D36" i="4"/>
  <c r="D26" i="4"/>
  <c r="AC26" i="1"/>
  <c r="D9" i="4"/>
  <c r="AC9" i="1"/>
  <c r="AC117" i="1"/>
  <c r="D117" i="4"/>
  <c r="AC107" i="1"/>
  <c r="D107" i="4"/>
  <c r="D86" i="4"/>
  <c r="AC86" i="1"/>
  <c r="D76" i="4"/>
  <c r="AC76" i="1"/>
  <c r="AC66" i="1"/>
  <c r="D66" i="4"/>
  <c r="D45" i="4"/>
  <c r="AC45" i="1"/>
  <c r="AC35" i="1"/>
  <c r="D35" i="4"/>
  <c r="D17" i="4"/>
  <c r="AC17" i="1"/>
  <c r="AC8" i="1"/>
  <c r="D8" i="4"/>
  <c r="D65" i="4"/>
  <c r="AC65" i="1"/>
  <c r="D105" i="4"/>
  <c r="AC105" i="1"/>
  <c r="AC95" i="1"/>
  <c r="D95" i="4"/>
  <c r="D74" i="4"/>
  <c r="AC74" i="1"/>
  <c r="AC64" i="1"/>
  <c r="D64" i="4"/>
  <c r="D54" i="4"/>
  <c r="AC54" i="1"/>
  <c r="AC33" i="1"/>
  <c r="D33" i="4"/>
  <c r="AC116" i="1"/>
  <c r="D116" i="4"/>
  <c r="D106" i="4"/>
  <c r="AC106" i="1"/>
  <c r="AC104" i="1"/>
  <c r="D104" i="4"/>
  <c r="D94" i="4"/>
  <c r="AC94" i="1"/>
  <c r="AC84" i="1"/>
  <c r="D84" i="4"/>
  <c r="AC63" i="1"/>
  <c r="D63" i="4"/>
  <c r="AC53" i="1"/>
  <c r="D53" i="4"/>
  <c r="D32" i="4"/>
  <c r="AC32" i="1"/>
  <c r="AC15" i="1"/>
  <c r="D15" i="4"/>
  <c r="AC124" i="1"/>
  <c r="D124" i="4"/>
  <c r="AC114" i="1"/>
  <c r="D114" i="4"/>
  <c r="D93" i="4"/>
  <c r="AC93" i="1"/>
  <c r="AC83" i="1"/>
  <c r="D83" i="4"/>
  <c r="AC62" i="1"/>
  <c r="D62" i="4"/>
  <c r="AC52" i="1"/>
  <c r="D52" i="4"/>
  <c r="D42" i="4"/>
  <c r="AC42" i="1"/>
  <c r="AC23" i="1"/>
  <c r="D23" i="4"/>
  <c r="D14" i="4"/>
  <c r="AC14" i="1"/>
  <c r="D44" i="4"/>
  <c r="AC44" i="1"/>
  <c r="AC123" i="1"/>
  <c r="D123" i="4"/>
  <c r="D113" i="4"/>
  <c r="AC113" i="1"/>
  <c r="AC92" i="1"/>
  <c r="D92" i="4"/>
  <c r="D82" i="4"/>
  <c r="AC82" i="1"/>
  <c r="AC72" i="1"/>
  <c r="D72" i="4"/>
  <c r="AC51" i="1"/>
  <c r="D51" i="4"/>
  <c r="AC41" i="1"/>
  <c r="D41" i="4"/>
  <c r="D22" i="4"/>
  <c r="AC22" i="1"/>
  <c r="AC5" i="1"/>
  <c r="D5" i="4"/>
  <c r="AC75" i="1"/>
  <c r="D75" i="4"/>
  <c r="AC112" i="1"/>
  <c r="D112" i="4"/>
  <c r="D102" i="4"/>
  <c r="AC102" i="1"/>
  <c r="AC81" i="1"/>
  <c r="D81" i="4"/>
  <c r="AC71" i="1"/>
  <c r="D71" i="4"/>
  <c r="D50" i="4"/>
  <c r="AC50" i="1"/>
  <c r="AC40" i="1"/>
  <c r="D40" i="4"/>
  <c r="AC21" i="1"/>
  <c r="D21" i="4"/>
  <c r="AC34" i="1"/>
  <c r="D34" i="4"/>
  <c r="AC111" i="1"/>
  <c r="D111" i="4"/>
  <c r="AC101" i="1"/>
  <c r="D101" i="4"/>
  <c r="AC80" i="1"/>
  <c r="D80" i="4"/>
  <c r="D70" i="4"/>
  <c r="AC70" i="1"/>
  <c r="D60" i="4"/>
  <c r="AC60" i="1"/>
  <c r="D39" i="4"/>
  <c r="AC39" i="1"/>
  <c r="AC20" i="1"/>
  <c r="D20" i="4"/>
  <c r="D122" i="4"/>
  <c r="AC122" i="1"/>
  <c r="D110" i="4"/>
  <c r="AC110" i="1"/>
  <c r="AC100" i="1"/>
  <c r="D100" i="4"/>
  <c r="D90" i="4"/>
  <c r="AC90" i="1"/>
  <c r="AC69" i="1"/>
  <c r="D69" i="4"/>
  <c r="AC59" i="1"/>
  <c r="D59" i="4"/>
  <c r="D38" i="4"/>
  <c r="AC38" i="1"/>
  <c r="D29" i="4"/>
  <c r="AC29" i="1"/>
  <c r="AC3" i="1"/>
  <c r="D3" i="4"/>
  <c r="AC96" i="1"/>
  <c r="D96" i="4"/>
  <c r="AC120" i="1"/>
  <c r="D120" i="4"/>
  <c r="AC99" i="1"/>
  <c r="D99" i="4"/>
  <c r="AC89" i="1"/>
  <c r="D89" i="4"/>
  <c r="AC68" i="1"/>
  <c r="D68" i="4"/>
  <c r="D58" i="4"/>
  <c r="AC58" i="1"/>
  <c r="AC48" i="1"/>
  <c r="D48" i="4"/>
  <c r="D28" i="4"/>
  <c r="AC28" i="1"/>
  <c r="AC11" i="1"/>
  <c r="D11" i="4"/>
  <c r="AC61" i="1"/>
  <c r="AC13" i="1"/>
  <c r="D7" i="4"/>
  <c r="D19" i="4"/>
  <c r="D31" i="4"/>
  <c r="D43" i="4"/>
  <c r="D55" i="4"/>
  <c r="D67" i="4"/>
  <c r="D79" i="4"/>
  <c r="D91" i="4"/>
  <c r="D103" i="4"/>
  <c r="D115" i="4"/>
  <c r="AC109" i="1"/>
  <c r="AC30" i="1"/>
  <c r="AC12" i="1"/>
  <c r="AC121" i="1"/>
  <c r="D4" i="4"/>
  <c r="D16" i="4"/>
  <c r="D24" i="4"/>
  <c r="AC73" i="1"/>
  <c r="AC25" i="1"/>
  <c r="AC85" i="1"/>
  <c r="D37" i="4"/>
  <c r="D49" i="4"/>
  <c r="D97" i="4"/>
  <c r="AC6" i="1"/>
  <c r="D18" i="4"/>
  <c r="A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McQuestion</author>
  </authors>
  <commentList>
    <comment ref="AA1" authorId="0" shapeId="0" xr:uid="{083625F1-3E40-4300-AB13-9A82DFA91E70}">
      <text>
        <r>
          <rPr>
            <b/>
            <sz val="9"/>
            <color indexed="81"/>
            <rFont val="Tahoma"/>
            <charset val="1"/>
          </rPr>
          <t>Patrick McQuestion:</t>
        </r>
        <r>
          <rPr>
            <sz val="9"/>
            <color indexed="81"/>
            <rFont val="Tahoma"/>
            <charset val="1"/>
          </rPr>
          <t xml:space="preserve">
this average is calculated without the variables that have blank values</t>
        </r>
      </text>
    </comment>
  </commentList>
</comments>
</file>

<file path=xl/sharedStrings.xml><?xml version="1.0" encoding="utf-8"?>
<sst xmlns="http://schemas.openxmlformats.org/spreadsheetml/2006/main" count="326" uniqueCount="69">
  <si>
    <t>country_name</t>
  </si>
  <si>
    <t>year</t>
  </si>
  <si>
    <t>v2elsnlfc_nr</t>
  </si>
  <si>
    <t>v2elsnmrfc_nr</t>
  </si>
  <si>
    <t>Colombia</t>
  </si>
  <si>
    <t>v2eldonate_nr</t>
  </si>
  <si>
    <t>v2elpubfin_nr</t>
  </si>
  <si>
    <t>v2elembaut_nr</t>
  </si>
  <si>
    <t>v2elembcap_nr</t>
  </si>
  <si>
    <t>v2elmulpar_nr</t>
  </si>
  <si>
    <t>v2elrgstry_nr</t>
  </si>
  <si>
    <t>v2elvotbuy_nr</t>
  </si>
  <si>
    <t>v2elirreg_nr</t>
  </si>
  <si>
    <t>v2elintim_nr</t>
  </si>
  <si>
    <t>v2elpeace_nr</t>
  </si>
  <si>
    <t>v2elboycot_nr</t>
  </si>
  <si>
    <t>v2elfrcamp_nr</t>
  </si>
  <si>
    <t>v2elpdcamp_nr</t>
  </si>
  <si>
    <t>v2elpaidig_nr</t>
  </si>
  <si>
    <t>v2elfrfair_nr</t>
  </si>
  <si>
    <t>v2elaccept_nr</t>
  </si>
  <si>
    <t>v2elasmoff_nr</t>
  </si>
  <si>
    <t>v2elrgpwr_nr</t>
  </si>
  <si>
    <t>v2ellocpwr_nr</t>
  </si>
  <si>
    <t>v2elffelr_nr</t>
  </si>
  <si>
    <t>v2elffelrbin_nr</t>
  </si>
  <si>
    <t>v2cltort_nr</t>
  </si>
  <si>
    <t>v2clkill_nr</t>
  </si>
  <si>
    <t>v2clslavem_nr</t>
  </si>
  <si>
    <t>v2clslavef_nr</t>
  </si>
  <si>
    <t>v2cltrnslw_nr</t>
  </si>
  <si>
    <t>v2clrspct_nr</t>
  </si>
  <si>
    <t>v2clacjstm_nr</t>
  </si>
  <si>
    <t>v2clacjstw_nr</t>
  </si>
  <si>
    <t>v2clacjust_nr</t>
  </si>
  <si>
    <t>v2clsocgrp_nr</t>
  </si>
  <si>
    <t>v2clrgunev_nr</t>
  </si>
  <si>
    <t>v2clsnlpct_nr</t>
  </si>
  <si>
    <t>v2clrgstch_nr</t>
  </si>
  <si>
    <t>v2clrgwkch_nr</t>
  </si>
  <si>
    <t>v2cldiscm_nr</t>
  </si>
  <si>
    <t>v2cldiscw_nr</t>
  </si>
  <si>
    <t>v2clacfree_nr</t>
  </si>
  <si>
    <t>v2clrelig_nr</t>
  </si>
  <si>
    <t>v2clfmove_nr</t>
  </si>
  <si>
    <t>v2cldmovem_nr</t>
  </si>
  <si>
    <t>v2cldmovew_nr</t>
  </si>
  <si>
    <t>v2clstown_nr</t>
  </si>
  <si>
    <t>v2clprptym_nr</t>
  </si>
  <si>
    <t>v2clprptyw_nr</t>
  </si>
  <si>
    <t>Row Labels</t>
  </si>
  <si>
    <t>Grand Total</t>
  </si>
  <si>
    <t>v2el_avg</t>
  </si>
  <si>
    <t>v2elsn_avg</t>
  </si>
  <si>
    <t>v2el_diff</t>
  </si>
  <si>
    <t>v2cl_avg</t>
  </si>
  <si>
    <t>v2clsn_avg</t>
  </si>
  <si>
    <t>v2cl_diff</t>
  </si>
  <si>
    <t>Year</t>
  </si>
  <si>
    <t>v2el_avg2</t>
  </si>
  <si>
    <t>v2el_diff2</t>
  </si>
  <si>
    <t>v2el_max</t>
  </si>
  <si>
    <t>v2cl_max</t>
  </si>
  <si>
    <t>v2clsn_max</t>
  </si>
  <si>
    <t>v2elsn_max</t>
  </si>
  <si>
    <t>v2el*</t>
  </si>
  <si>
    <t>v2cl*</t>
  </si>
  <si>
    <t>v2elsn*</t>
  </si>
  <si>
    <t>v2clsn*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</si>
</sst>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0" fillId="3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theme="4" tint="0.79998168889431442"/>
        </patternFill>
      </fill>
    </dxf>
    <dxf>
      <fill>
        <patternFill patternType="solid">
          <fgColor indexed="64"/>
          <bgColor theme="4" tint="0.79998168889431442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[Coders_El-CL_col2018.xlsx]Pivot!PivotTable2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/>
            </a:solidFill>
            <a:prstDash val="sysDash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v2el*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Pivot!$A$4:$A$127</c:f>
              <c:strCache>
                <c:ptCount val="123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</c:strCache>
            </c:strRef>
          </c:cat>
          <c:val>
            <c:numRef>
              <c:f>Pivot!$B$4:$B$127</c:f>
              <c:numCache>
                <c:formatCode>General</c:formatCode>
                <c:ptCount val="12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17</c:v>
                </c:pt>
                <c:pt idx="109">
                  <c:v>17</c:v>
                </c:pt>
                <c:pt idx="110">
                  <c:v>18</c:v>
                </c:pt>
                <c:pt idx="111">
                  <c:v>18</c:v>
                </c:pt>
                <c:pt idx="112">
                  <c:v>17</c:v>
                </c:pt>
                <c:pt idx="113">
                  <c:v>15</c:v>
                </c:pt>
                <c:pt idx="114">
                  <c:v>16</c:v>
                </c:pt>
                <c:pt idx="115">
                  <c:v>15</c:v>
                </c:pt>
                <c:pt idx="116">
                  <c:v>14</c:v>
                </c:pt>
                <c:pt idx="117">
                  <c:v>14</c:v>
                </c:pt>
                <c:pt idx="118">
                  <c:v>13</c:v>
                </c:pt>
                <c:pt idx="119">
                  <c:v>12</c:v>
                </c:pt>
                <c:pt idx="120">
                  <c:v>10</c:v>
                </c:pt>
                <c:pt idx="121">
                  <c:v>8</c:v>
                </c:pt>
                <c:pt idx="12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1EC-4CCD-B026-EDE6595925E2}"/>
            </c:ext>
          </c:extLst>
        </c:ser>
        <c:ser>
          <c:idx val="1"/>
          <c:order val="1"/>
          <c:tx>
            <c:strRef>
              <c:f>Pivot!$C$3</c:f>
              <c:strCache>
                <c:ptCount val="1"/>
                <c:pt idx="0">
                  <c:v>v2cl*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Pivot!$A$4:$A$127</c:f>
              <c:strCache>
                <c:ptCount val="123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</c:strCache>
            </c:strRef>
          </c:cat>
          <c:val>
            <c:numRef>
              <c:f>Pivot!$C$4:$C$127</c:f>
              <c:numCache>
                <c:formatCode>General</c:formatCode>
                <c:ptCount val="12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14</c:v>
                </c:pt>
                <c:pt idx="106">
                  <c:v>14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12</c:v>
                </c:pt>
                <c:pt idx="117">
                  <c:v>11</c:v>
                </c:pt>
                <c:pt idx="118">
                  <c:v>10</c:v>
                </c:pt>
                <c:pt idx="119">
                  <c:v>9</c:v>
                </c:pt>
                <c:pt idx="120">
                  <c:v>8</c:v>
                </c:pt>
                <c:pt idx="121">
                  <c:v>7</c:v>
                </c:pt>
                <c:pt idx="12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1EC-4CCD-B026-EDE6595925E2}"/>
            </c:ext>
          </c:extLst>
        </c:ser>
        <c:ser>
          <c:idx val="2"/>
          <c:order val="2"/>
          <c:tx>
            <c:strRef>
              <c:f>Pivot!$D$3</c:f>
              <c:strCache>
                <c:ptCount val="1"/>
                <c:pt idx="0">
                  <c:v>v2elsn*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Pivot!$A$4:$A$127</c:f>
              <c:strCache>
                <c:ptCount val="123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</c:strCache>
            </c:strRef>
          </c:cat>
          <c:val>
            <c:numRef>
              <c:f>Pivot!$D$4:$D$127</c:f>
              <c:numCache>
                <c:formatCode>General</c:formatCode>
                <c:ptCount val="12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3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4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4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4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4</c:v>
                </c:pt>
                <c:pt idx="87">
                  <c:v>3</c:v>
                </c:pt>
                <c:pt idx="88">
                  <c:v>4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9</c:v>
                </c:pt>
                <c:pt idx="106">
                  <c:v>9</c:v>
                </c:pt>
                <c:pt idx="107">
                  <c:v>12</c:v>
                </c:pt>
                <c:pt idx="108">
                  <c:v>9</c:v>
                </c:pt>
                <c:pt idx="109">
                  <c:v>9</c:v>
                </c:pt>
                <c:pt idx="110">
                  <c:v>9</c:v>
                </c:pt>
                <c:pt idx="111">
                  <c:v>11</c:v>
                </c:pt>
                <c:pt idx="112">
                  <c:v>9</c:v>
                </c:pt>
                <c:pt idx="113">
                  <c:v>9</c:v>
                </c:pt>
                <c:pt idx="114">
                  <c:v>9</c:v>
                </c:pt>
                <c:pt idx="115">
                  <c:v>11</c:v>
                </c:pt>
                <c:pt idx="116">
                  <c:v>10</c:v>
                </c:pt>
                <c:pt idx="117">
                  <c:v>10</c:v>
                </c:pt>
                <c:pt idx="118">
                  <c:v>9</c:v>
                </c:pt>
                <c:pt idx="119">
                  <c:v>9</c:v>
                </c:pt>
                <c:pt idx="120">
                  <c:v>5</c:v>
                </c:pt>
                <c:pt idx="121">
                  <c:v>3</c:v>
                </c:pt>
                <c:pt idx="12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1EC-4CCD-B026-EDE6595925E2}"/>
            </c:ext>
          </c:extLst>
        </c:ser>
        <c:ser>
          <c:idx val="3"/>
          <c:order val="3"/>
          <c:tx>
            <c:strRef>
              <c:f>Pivot!$E$3</c:f>
              <c:strCache>
                <c:ptCount val="1"/>
                <c:pt idx="0">
                  <c:v>v2clsn*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Pivot!$A$4:$A$127</c:f>
              <c:strCache>
                <c:ptCount val="123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</c:strCache>
            </c:strRef>
          </c:cat>
          <c:val>
            <c:numRef>
              <c:f>Pivot!$E$4:$E$127</c:f>
              <c:numCache>
                <c:formatCode>General</c:formatCode>
                <c:ptCount val="123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13</c:v>
                </c:pt>
                <c:pt idx="106">
                  <c:v>13</c:v>
                </c:pt>
                <c:pt idx="107">
                  <c:v>13</c:v>
                </c:pt>
                <c:pt idx="108">
                  <c:v>13</c:v>
                </c:pt>
                <c:pt idx="109">
                  <c:v>13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12</c:v>
                </c:pt>
                <c:pt idx="117">
                  <c:v>11</c:v>
                </c:pt>
                <c:pt idx="118">
                  <c:v>10</c:v>
                </c:pt>
                <c:pt idx="119">
                  <c:v>9</c:v>
                </c:pt>
                <c:pt idx="120">
                  <c:v>8</c:v>
                </c:pt>
                <c:pt idx="121">
                  <c:v>7</c:v>
                </c:pt>
                <c:pt idx="12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1EC-4CCD-B026-EDE6595925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169983"/>
        <c:axId val="1425148383"/>
      </c:lineChart>
      <c:catAx>
        <c:axId val="142516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25148383"/>
        <c:crosses val="autoZero"/>
        <c:auto val="1"/>
        <c:lblAlgn val="ctr"/>
        <c:lblOffset val="100"/>
        <c:noMultiLvlLbl val="0"/>
      </c:catAx>
      <c:valAx>
        <c:axId val="142514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Maxiumum</a:t>
                </a:r>
                <a:r>
                  <a:rPr lang="en-US" baseline="0"/>
                  <a:t> number of coders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25169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400049</xdr:colOff>
      <xdr:row>6</xdr:row>
      <xdr:rowOff>160335</xdr:rowOff>
    </xdr:from>
    <xdr:to>
      <xdr:col>15</xdr:col>
      <xdr:colOff>361950</xdr:colOff>
      <xdr:row>31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AB741F-B810-00B1-A7A4-3D1F31B95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k McQuestion" refreshedDate="45403.861281481484" createdVersion="8" refreshedVersion="8" minRefreshableVersion="3" recordCount="123" xr:uid="{F791BAFD-B6EF-470A-87A1-2A745F1F0F07}">
  <cacheSource type="worksheet">
    <worksheetSource name="Table3"/>
  </cacheSource>
  <cacheFields count="11">
    <cacheField name="Year" numFmtId="0">
      <sharedItems containsSemiMixedTypes="0" containsString="0" containsNumber="1" containsInteger="1" minValue="1900" maxValue="2022" count="123"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v2el_avg" numFmtId="0">
      <sharedItems containsSemiMixedTypes="0" containsString="0" containsNumber="1" minValue="3.8095238095238093" maxValue="17.61904761904762"/>
    </cacheField>
    <cacheField name="v2elsn_avg" numFmtId="0">
      <sharedItems containsSemiMixedTypes="0" containsString="0" containsNumber="1" minValue="2" maxValue="11.5"/>
    </cacheField>
    <cacheField name="v2el_diff" numFmtId="0">
      <sharedItems containsSemiMixedTypes="0" containsString="0" containsNumber="1" minValue="0.875" maxValue="8.6190476190476204"/>
    </cacheField>
    <cacheField name="v2cl_avg" numFmtId="0">
      <sharedItems containsSemiMixedTypes="0" containsString="0" containsNumber="1" minValue="4.9090909090909092" maxValue="13.772727272727273"/>
    </cacheField>
    <cacheField name="v2clsn_avg" numFmtId="0">
      <sharedItems containsSemiMixedTypes="0" containsString="0" containsNumber="1" minValue="3" maxValue="12.5"/>
    </cacheField>
    <cacheField name="v2cl_diff" numFmtId="0">
      <sharedItems containsSemiMixedTypes="0" containsString="0" containsNumber="1" minValue="0.27272727272727249" maxValue="2.9545454545454541"/>
    </cacheField>
    <cacheField name="v2el_max" numFmtId="0">
      <sharedItems containsSemiMixedTypes="0" containsString="0" containsNumber="1" containsInteger="1" minValue="6" maxValue="18"/>
    </cacheField>
    <cacheField name="v2cl_max" numFmtId="0">
      <sharedItems containsSemiMixedTypes="0" containsString="0" containsNumber="1" containsInteger="1" minValue="5" maxValue="14"/>
    </cacheField>
    <cacheField name="v2clsn_max" numFmtId="0">
      <sharedItems containsSemiMixedTypes="0" containsString="0" containsNumber="1" containsInteger="1" minValue="3" maxValue="13"/>
    </cacheField>
    <cacheField name="v2elsn_max" numFmtId="0">
      <sharedItems containsSemiMixedTypes="0" containsString="0" containsNumber="1" containsInteger="1" minValue="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x v="0"/>
    <n v="5.5"/>
    <n v="2.5"/>
    <n v="3"/>
    <n v="5.9545454545454541"/>
    <n v="3"/>
    <n v="2.9545454545454541"/>
    <n v="8"/>
    <n v="6"/>
    <n v="3"/>
    <n v="3"/>
  </r>
  <r>
    <x v="1"/>
    <n v="5.5"/>
    <n v="2.5"/>
    <n v="3"/>
    <n v="5.9545454545454541"/>
    <n v="3"/>
    <n v="2.9545454545454541"/>
    <n v="8"/>
    <n v="6"/>
    <n v="3"/>
    <n v="3"/>
  </r>
  <r>
    <x v="2"/>
    <n v="5.5"/>
    <n v="2.5"/>
    <n v="3"/>
    <n v="5.9545454545454541"/>
    <n v="3"/>
    <n v="2.9545454545454541"/>
    <n v="8"/>
    <n v="6"/>
    <n v="3"/>
    <n v="3"/>
  </r>
  <r>
    <x v="3"/>
    <n v="5.5"/>
    <n v="2.5"/>
    <n v="3"/>
    <n v="5.9545454545454541"/>
    <n v="3"/>
    <n v="2.9545454545454541"/>
    <n v="8"/>
    <n v="6"/>
    <n v="3"/>
    <n v="3"/>
  </r>
  <r>
    <x v="4"/>
    <n v="5.5"/>
    <n v="2.5"/>
    <n v="3"/>
    <n v="5.9545454545454541"/>
    <n v="3"/>
    <n v="2.9545454545454541"/>
    <n v="8"/>
    <n v="6"/>
    <n v="3"/>
    <n v="3"/>
  </r>
  <r>
    <x v="5"/>
    <n v="5.5"/>
    <n v="2.5"/>
    <n v="3"/>
    <n v="5.9545454545454541"/>
    <n v="3"/>
    <n v="2.9545454545454541"/>
    <n v="8"/>
    <n v="6"/>
    <n v="3"/>
    <n v="3"/>
  </r>
  <r>
    <x v="6"/>
    <n v="5.5"/>
    <n v="2.5"/>
    <n v="3"/>
    <n v="5.9545454545454541"/>
    <n v="3"/>
    <n v="2.9545454545454541"/>
    <n v="8"/>
    <n v="6"/>
    <n v="3"/>
    <n v="3"/>
  </r>
  <r>
    <x v="7"/>
    <n v="5.5"/>
    <n v="2.5"/>
    <n v="3"/>
    <n v="5.9545454545454541"/>
    <n v="3"/>
    <n v="2.9545454545454541"/>
    <n v="8"/>
    <n v="6"/>
    <n v="3"/>
    <n v="3"/>
  </r>
  <r>
    <x v="8"/>
    <n v="5.5"/>
    <n v="2.5"/>
    <n v="3"/>
    <n v="5.9545454545454541"/>
    <n v="3"/>
    <n v="2.9545454545454541"/>
    <n v="8"/>
    <n v="6"/>
    <n v="3"/>
    <n v="3"/>
  </r>
  <r>
    <x v="9"/>
    <n v="5.5"/>
    <n v="2.5"/>
    <n v="3"/>
    <n v="5.9545454545454541"/>
    <n v="3"/>
    <n v="2.9545454545454541"/>
    <n v="8"/>
    <n v="6"/>
    <n v="3"/>
    <n v="3"/>
  </r>
  <r>
    <x v="10"/>
    <n v="3.8095238095238093"/>
    <n v="2.5"/>
    <n v="1.3095238095238093"/>
    <n v="5.9545454545454541"/>
    <n v="3"/>
    <n v="2.9545454545454541"/>
    <n v="8"/>
    <n v="6"/>
    <n v="3"/>
    <n v="3"/>
  </r>
  <r>
    <x v="11"/>
    <n v="5.5"/>
    <n v="2.5"/>
    <n v="3"/>
    <n v="5.9545454545454541"/>
    <n v="3"/>
    <n v="2.9545454545454541"/>
    <n v="8"/>
    <n v="6"/>
    <n v="3"/>
    <n v="3"/>
  </r>
  <r>
    <x v="12"/>
    <n v="5.5"/>
    <n v="2.5"/>
    <n v="3"/>
    <n v="5.9545454545454541"/>
    <n v="3"/>
    <n v="2.9545454545454541"/>
    <n v="8"/>
    <n v="6"/>
    <n v="3"/>
    <n v="3"/>
  </r>
  <r>
    <x v="13"/>
    <n v="5.5"/>
    <n v="2.5"/>
    <n v="3"/>
    <n v="5.9545454545454541"/>
    <n v="3"/>
    <n v="2.9545454545454541"/>
    <n v="8"/>
    <n v="6"/>
    <n v="3"/>
    <n v="3"/>
  </r>
  <r>
    <x v="14"/>
    <n v="6.8571428571428568"/>
    <n v="2.5"/>
    <n v="4.3571428571428568"/>
    <n v="5.9545454545454541"/>
    <n v="3"/>
    <n v="2.9545454545454541"/>
    <n v="8"/>
    <n v="6"/>
    <n v="3"/>
    <n v="3"/>
  </r>
  <r>
    <x v="15"/>
    <n v="5.5"/>
    <n v="2.5"/>
    <n v="3"/>
    <n v="5.9545454545454541"/>
    <n v="3"/>
    <n v="2.9545454545454541"/>
    <n v="8"/>
    <n v="6"/>
    <n v="3"/>
    <n v="3"/>
  </r>
  <r>
    <x v="16"/>
    <n v="5.5"/>
    <n v="2.5"/>
    <n v="3"/>
    <n v="5.9545454545454541"/>
    <n v="3"/>
    <n v="2.9545454545454541"/>
    <n v="8"/>
    <n v="6"/>
    <n v="3"/>
    <n v="3"/>
  </r>
  <r>
    <x v="17"/>
    <n v="5.5"/>
    <n v="2.5"/>
    <n v="3"/>
    <n v="5.9545454545454541"/>
    <n v="3"/>
    <n v="2.9545454545454541"/>
    <n v="8"/>
    <n v="6"/>
    <n v="3"/>
    <n v="3"/>
  </r>
  <r>
    <x v="18"/>
    <n v="6.7142857142857144"/>
    <n v="2.5"/>
    <n v="4.2142857142857144"/>
    <n v="5.9545454545454541"/>
    <n v="3"/>
    <n v="2.9545454545454541"/>
    <n v="8"/>
    <n v="6"/>
    <n v="3"/>
    <n v="3"/>
  </r>
  <r>
    <x v="19"/>
    <n v="5.5"/>
    <n v="2.5"/>
    <n v="3"/>
    <n v="5.9545454545454541"/>
    <n v="3"/>
    <n v="2.9545454545454541"/>
    <n v="8"/>
    <n v="6"/>
    <n v="3"/>
    <n v="3"/>
  </r>
  <r>
    <x v="20"/>
    <n v="5.5"/>
    <n v="2.5"/>
    <n v="3"/>
    <n v="5.9545454545454541"/>
    <n v="3"/>
    <n v="2.9545454545454541"/>
    <n v="8"/>
    <n v="6"/>
    <n v="3"/>
    <n v="3"/>
  </r>
  <r>
    <x v="21"/>
    <n v="4.5"/>
    <n v="2.5"/>
    <n v="2"/>
    <n v="5"/>
    <n v="3"/>
    <n v="2"/>
    <n v="7"/>
    <n v="5"/>
    <n v="3"/>
    <n v="3"/>
  </r>
  <r>
    <x v="22"/>
    <n v="5.8571428571428568"/>
    <n v="2.5"/>
    <n v="3.3571428571428568"/>
    <n v="5"/>
    <n v="3"/>
    <n v="2"/>
    <n v="7"/>
    <n v="5"/>
    <n v="3"/>
    <n v="3"/>
  </r>
  <r>
    <x v="23"/>
    <n v="4.5"/>
    <n v="2.5"/>
    <n v="2"/>
    <n v="5"/>
    <n v="3"/>
    <n v="2"/>
    <n v="7"/>
    <n v="5"/>
    <n v="3"/>
    <n v="3"/>
  </r>
  <r>
    <x v="24"/>
    <n v="4.5"/>
    <n v="2.5"/>
    <n v="2"/>
    <n v="5"/>
    <n v="3"/>
    <n v="2"/>
    <n v="7"/>
    <n v="5"/>
    <n v="3"/>
    <n v="3"/>
  </r>
  <r>
    <x v="25"/>
    <n v="4.5"/>
    <n v="2.5"/>
    <n v="2"/>
    <n v="5"/>
    <n v="3"/>
    <n v="2"/>
    <n v="7"/>
    <n v="5"/>
    <n v="3"/>
    <n v="3"/>
  </r>
  <r>
    <x v="26"/>
    <n v="5.8095238095238093"/>
    <n v="2.5"/>
    <n v="3.3095238095238093"/>
    <n v="5"/>
    <n v="3"/>
    <n v="2"/>
    <n v="7"/>
    <n v="5"/>
    <n v="3"/>
    <n v="3"/>
  </r>
  <r>
    <x v="27"/>
    <n v="4.5"/>
    <n v="2.5"/>
    <n v="2"/>
    <n v="5"/>
    <n v="3"/>
    <n v="2"/>
    <n v="7"/>
    <n v="5"/>
    <n v="3"/>
    <n v="3"/>
  </r>
  <r>
    <x v="28"/>
    <n v="4.5"/>
    <n v="2.5"/>
    <n v="2"/>
    <n v="4.9090909090909092"/>
    <n v="3"/>
    <n v="1.9090909090909092"/>
    <n v="7"/>
    <n v="5"/>
    <n v="3"/>
    <n v="3"/>
  </r>
  <r>
    <x v="29"/>
    <n v="4.5"/>
    <n v="2.5"/>
    <n v="2"/>
    <n v="5"/>
    <n v="3"/>
    <n v="2"/>
    <n v="7"/>
    <n v="5"/>
    <n v="3"/>
    <n v="3"/>
  </r>
  <r>
    <x v="30"/>
    <n v="5.9523809523809526"/>
    <n v="3"/>
    <n v="2.9523809523809526"/>
    <n v="5"/>
    <n v="3"/>
    <n v="2"/>
    <n v="7"/>
    <n v="5"/>
    <n v="3"/>
    <n v="3"/>
  </r>
  <r>
    <x v="31"/>
    <n v="5.9047619047619051"/>
    <n v="3"/>
    <n v="2.9047619047619051"/>
    <n v="5"/>
    <n v="3"/>
    <n v="2"/>
    <n v="7"/>
    <n v="5"/>
    <n v="3"/>
    <n v="3"/>
  </r>
  <r>
    <x v="32"/>
    <n v="4.5"/>
    <n v="3"/>
    <n v="1.5"/>
    <n v="5"/>
    <n v="3"/>
    <n v="2"/>
    <n v="7"/>
    <n v="5"/>
    <n v="3"/>
    <n v="3"/>
  </r>
  <r>
    <x v="33"/>
    <n v="5.9047619047619051"/>
    <n v="3"/>
    <n v="2.9047619047619051"/>
    <n v="5"/>
    <n v="3"/>
    <n v="2"/>
    <n v="7"/>
    <n v="5"/>
    <n v="3"/>
    <n v="3"/>
  </r>
  <r>
    <x v="34"/>
    <n v="5.9523809523809526"/>
    <n v="3"/>
    <n v="2.9523809523809526"/>
    <n v="5"/>
    <n v="3"/>
    <n v="2"/>
    <n v="7"/>
    <n v="5"/>
    <n v="3"/>
    <n v="3"/>
  </r>
  <r>
    <x v="35"/>
    <n v="5.9047619047619051"/>
    <n v="3"/>
    <n v="2.9047619047619051"/>
    <n v="5"/>
    <n v="3"/>
    <n v="2"/>
    <n v="7"/>
    <n v="5"/>
    <n v="3"/>
    <n v="3"/>
  </r>
  <r>
    <x v="36"/>
    <n v="4.5"/>
    <n v="3"/>
    <n v="1.5"/>
    <n v="5"/>
    <n v="3"/>
    <n v="2"/>
    <n v="7"/>
    <n v="5"/>
    <n v="3"/>
    <n v="3"/>
  </r>
  <r>
    <x v="37"/>
    <n v="6"/>
    <n v="3"/>
    <n v="3"/>
    <n v="5"/>
    <n v="3"/>
    <n v="2"/>
    <n v="7"/>
    <n v="5"/>
    <n v="3"/>
    <n v="3"/>
  </r>
  <r>
    <x v="38"/>
    <n v="5.9523809523809526"/>
    <n v="3"/>
    <n v="2.9523809523809526"/>
    <n v="5"/>
    <n v="3"/>
    <n v="2"/>
    <n v="7"/>
    <n v="5"/>
    <n v="3"/>
    <n v="3"/>
  </r>
  <r>
    <x v="39"/>
    <n v="6"/>
    <n v="3"/>
    <n v="3"/>
    <n v="5"/>
    <n v="3"/>
    <n v="2"/>
    <n v="7"/>
    <n v="5"/>
    <n v="3"/>
    <n v="3"/>
  </r>
  <r>
    <x v="40"/>
    <n v="4.5"/>
    <n v="3"/>
    <n v="1.5"/>
    <n v="5"/>
    <n v="3"/>
    <n v="2"/>
    <n v="7"/>
    <n v="5"/>
    <n v="3"/>
    <n v="3"/>
  </r>
  <r>
    <x v="41"/>
    <n v="6"/>
    <n v="3"/>
    <n v="3"/>
    <n v="5"/>
    <n v="3"/>
    <n v="2"/>
    <n v="7"/>
    <n v="5"/>
    <n v="3"/>
    <n v="3"/>
  </r>
  <r>
    <x v="42"/>
    <n v="5.9047619047619051"/>
    <n v="3"/>
    <n v="2.9047619047619051"/>
    <n v="5"/>
    <n v="3"/>
    <n v="2"/>
    <n v="7"/>
    <n v="5"/>
    <n v="3"/>
    <n v="3"/>
  </r>
  <r>
    <x v="43"/>
    <n v="5.0476190476190474"/>
    <n v="3"/>
    <n v="2.0476190476190474"/>
    <n v="5"/>
    <n v="3"/>
    <n v="2"/>
    <n v="7"/>
    <n v="5"/>
    <n v="3"/>
    <n v="3"/>
  </r>
  <r>
    <x v="44"/>
    <n v="4.5"/>
    <n v="3"/>
    <n v="1.5"/>
    <n v="5"/>
    <n v="3"/>
    <n v="2"/>
    <n v="7"/>
    <n v="5"/>
    <n v="3"/>
    <n v="3"/>
  </r>
  <r>
    <x v="45"/>
    <n v="5.8095238095238093"/>
    <n v="3"/>
    <n v="2.8095238095238093"/>
    <n v="5"/>
    <n v="3"/>
    <n v="2"/>
    <n v="7"/>
    <n v="5"/>
    <n v="3"/>
    <n v="3"/>
  </r>
  <r>
    <x v="46"/>
    <n v="5.9523809523809526"/>
    <n v="3"/>
    <n v="2.9523809523809526"/>
    <n v="5"/>
    <n v="3"/>
    <n v="2"/>
    <n v="7"/>
    <n v="5"/>
    <n v="3"/>
    <n v="3"/>
  </r>
  <r>
    <x v="47"/>
    <n v="6.0476190476190474"/>
    <n v="2.5"/>
    <n v="3.5476190476190474"/>
    <n v="5"/>
    <n v="3"/>
    <n v="2"/>
    <n v="7"/>
    <n v="5"/>
    <n v="3"/>
    <n v="3"/>
  </r>
  <r>
    <x v="48"/>
    <n v="4.625"/>
    <n v="2.5"/>
    <n v="2.125"/>
    <n v="5"/>
    <n v="3"/>
    <n v="2"/>
    <n v="7"/>
    <n v="5"/>
    <n v="3"/>
    <n v="3"/>
  </r>
  <r>
    <x v="49"/>
    <n v="6.0952380952380949"/>
    <n v="2.5"/>
    <n v="3.5952380952380949"/>
    <n v="5"/>
    <n v="3"/>
    <n v="2"/>
    <n v="7"/>
    <n v="5"/>
    <n v="3"/>
    <n v="3"/>
  </r>
  <r>
    <x v="50"/>
    <n v="4.625"/>
    <n v="2.5"/>
    <n v="2.125"/>
    <n v="5"/>
    <n v="3"/>
    <n v="2"/>
    <n v="7"/>
    <n v="5"/>
    <n v="3"/>
    <n v="3"/>
  </r>
  <r>
    <x v="51"/>
    <n v="5.8571428571428568"/>
    <n v="2.5"/>
    <n v="3.3571428571428568"/>
    <n v="5"/>
    <n v="3"/>
    <n v="2"/>
    <n v="7"/>
    <n v="5"/>
    <n v="3"/>
    <n v="3"/>
  </r>
  <r>
    <x v="52"/>
    <n v="4.625"/>
    <n v="2.5"/>
    <n v="2.125"/>
    <n v="5"/>
    <n v="3"/>
    <n v="2"/>
    <n v="7"/>
    <n v="5"/>
    <n v="3"/>
    <n v="3"/>
  </r>
  <r>
    <x v="53"/>
    <n v="6"/>
    <n v="2.5"/>
    <n v="3.5"/>
    <n v="5"/>
    <n v="3"/>
    <n v="2"/>
    <n v="7"/>
    <n v="5"/>
    <n v="3"/>
    <n v="3"/>
  </r>
  <r>
    <x v="54"/>
    <n v="4.625"/>
    <n v="2.5"/>
    <n v="2.125"/>
    <n v="5"/>
    <n v="3"/>
    <n v="2"/>
    <n v="7"/>
    <n v="5"/>
    <n v="3"/>
    <n v="3"/>
  </r>
  <r>
    <x v="55"/>
    <n v="4.625"/>
    <n v="2.5"/>
    <n v="2.125"/>
    <n v="5"/>
    <n v="3"/>
    <n v="2"/>
    <n v="7"/>
    <n v="5"/>
    <n v="3"/>
    <n v="3"/>
  </r>
  <r>
    <x v="56"/>
    <n v="4.625"/>
    <n v="2.5"/>
    <n v="2.125"/>
    <n v="5"/>
    <n v="3"/>
    <n v="2"/>
    <n v="7"/>
    <n v="5"/>
    <n v="3"/>
    <n v="3"/>
  </r>
  <r>
    <x v="57"/>
    <n v="4.625"/>
    <n v="2.5"/>
    <n v="2.125"/>
    <n v="4.9545454545454541"/>
    <n v="3"/>
    <n v="1.9545454545454541"/>
    <n v="7"/>
    <n v="5"/>
    <n v="3"/>
    <n v="3"/>
  </r>
  <r>
    <x v="58"/>
    <n v="6.3809523809523814"/>
    <n v="4"/>
    <n v="2.3809523809523814"/>
    <n v="5"/>
    <n v="3"/>
    <n v="2"/>
    <n v="7"/>
    <n v="5"/>
    <n v="3"/>
    <n v="4"/>
  </r>
  <r>
    <x v="59"/>
    <n v="4.75"/>
    <n v="3"/>
    <n v="1.75"/>
    <n v="5"/>
    <n v="3"/>
    <n v="2"/>
    <n v="7"/>
    <n v="5"/>
    <n v="3"/>
    <n v="3"/>
  </r>
  <r>
    <x v="60"/>
    <n v="6.2857142857142856"/>
    <n v="4"/>
    <n v="2.2857142857142856"/>
    <n v="5"/>
    <n v="3"/>
    <n v="2"/>
    <n v="7"/>
    <n v="5"/>
    <n v="3"/>
    <n v="4"/>
  </r>
  <r>
    <x v="61"/>
    <n v="4.875"/>
    <n v="4"/>
    <n v="0.875"/>
    <n v="5"/>
    <n v="3"/>
    <n v="2"/>
    <n v="7"/>
    <n v="5"/>
    <n v="3"/>
    <n v="4"/>
  </r>
  <r>
    <x v="62"/>
    <n v="6.333333333333333"/>
    <n v="4"/>
    <n v="2.333333333333333"/>
    <n v="5"/>
    <n v="3"/>
    <n v="2"/>
    <n v="7"/>
    <n v="5"/>
    <n v="3"/>
    <n v="4"/>
  </r>
  <r>
    <x v="63"/>
    <n v="4.875"/>
    <n v="4"/>
    <n v="0.875"/>
    <n v="5"/>
    <n v="3"/>
    <n v="2"/>
    <n v="7"/>
    <n v="5"/>
    <n v="3"/>
    <n v="4"/>
  </r>
  <r>
    <x v="64"/>
    <n v="6.2857142857142856"/>
    <n v="4"/>
    <n v="2.2857142857142856"/>
    <n v="5"/>
    <n v="3"/>
    <n v="2"/>
    <n v="7"/>
    <n v="5"/>
    <n v="3"/>
    <n v="4"/>
  </r>
  <r>
    <x v="65"/>
    <n v="4.875"/>
    <n v="4"/>
    <n v="0.875"/>
    <n v="5"/>
    <n v="3"/>
    <n v="2"/>
    <n v="7"/>
    <n v="5"/>
    <n v="3"/>
    <n v="4"/>
  </r>
  <r>
    <x v="66"/>
    <n v="6.333333333333333"/>
    <n v="4"/>
    <n v="2.333333333333333"/>
    <n v="5"/>
    <n v="3"/>
    <n v="2"/>
    <n v="7"/>
    <n v="5"/>
    <n v="3"/>
    <n v="4"/>
  </r>
  <r>
    <x v="67"/>
    <n v="4.875"/>
    <n v="4"/>
    <n v="0.875"/>
    <n v="5"/>
    <n v="3"/>
    <n v="2"/>
    <n v="7"/>
    <n v="5"/>
    <n v="3"/>
    <n v="4"/>
  </r>
  <r>
    <x v="68"/>
    <n v="6.333333333333333"/>
    <n v="4"/>
    <n v="2.333333333333333"/>
    <n v="5"/>
    <n v="3"/>
    <n v="2"/>
    <n v="7"/>
    <n v="5"/>
    <n v="3"/>
    <n v="4"/>
  </r>
  <r>
    <x v="69"/>
    <n v="4.75"/>
    <n v="3"/>
    <n v="1.75"/>
    <n v="5"/>
    <n v="3"/>
    <n v="2"/>
    <n v="7"/>
    <n v="5"/>
    <n v="3"/>
    <n v="3"/>
  </r>
  <r>
    <x v="70"/>
    <n v="6.2857142857142856"/>
    <n v="4"/>
    <n v="2.2857142857142856"/>
    <n v="5"/>
    <n v="3.5"/>
    <n v="1.5"/>
    <n v="7"/>
    <n v="5"/>
    <n v="4"/>
    <n v="4"/>
  </r>
  <r>
    <x v="71"/>
    <n v="4.75"/>
    <n v="3"/>
    <n v="1.75"/>
    <n v="5"/>
    <n v="3.5"/>
    <n v="1.5"/>
    <n v="7"/>
    <n v="5"/>
    <n v="4"/>
    <n v="3"/>
  </r>
  <r>
    <x v="72"/>
    <n v="4.75"/>
    <n v="3"/>
    <n v="1.75"/>
    <n v="5"/>
    <n v="3.5"/>
    <n v="1.5"/>
    <n v="7"/>
    <n v="5"/>
    <n v="4"/>
    <n v="3"/>
  </r>
  <r>
    <x v="73"/>
    <n v="4.75"/>
    <n v="3"/>
    <n v="1.75"/>
    <n v="5"/>
    <n v="3.5"/>
    <n v="1.5"/>
    <n v="7"/>
    <n v="5"/>
    <n v="4"/>
    <n v="3"/>
  </r>
  <r>
    <x v="74"/>
    <n v="6.3809523809523814"/>
    <n v="4"/>
    <n v="2.3809523809523814"/>
    <n v="5"/>
    <n v="3.5"/>
    <n v="1.5"/>
    <n v="7"/>
    <n v="5"/>
    <n v="4"/>
    <n v="4"/>
  </r>
  <r>
    <x v="75"/>
    <n v="4.75"/>
    <n v="3"/>
    <n v="1.75"/>
    <n v="5"/>
    <n v="3.5"/>
    <n v="1.5"/>
    <n v="7"/>
    <n v="5"/>
    <n v="4"/>
    <n v="3"/>
  </r>
  <r>
    <x v="76"/>
    <n v="4.75"/>
    <n v="3"/>
    <n v="1.75"/>
    <n v="5"/>
    <n v="3.5"/>
    <n v="1.5"/>
    <n v="7"/>
    <n v="5"/>
    <n v="4"/>
    <n v="3"/>
  </r>
  <r>
    <x v="77"/>
    <n v="4.75"/>
    <n v="3"/>
    <n v="1.75"/>
    <n v="5"/>
    <n v="3.5"/>
    <n v="1.5"/>
    <n v="7"/>
    <n v="5"/>
    <n v="4"/>
    <n v="3"/>
  </r>
  <r>
    <x v="78"/>
    <n v="6.4285714285714288"/>
    <n v="4"/>
    <n v="2.4285714285714288"/>
    <n v="5"/>
    <n v="3.5"/>
    <n v="1.5"/>
    <n v="7"/>
    <n v="5"/>
    <n v="4"/>
    <n v="4"/>
  </r>
  <r>
    <x v="79"/>
    <n v="4.75"/>
    <n v="3"/>
    <n v="1.75"/>
    <n v="5"/>
    <n v="3.5"/>
    <n v="1.5"/>
    <n v="7"/>
    <n v="5"/>
    <n v="4"/>
    <n v="3"/>
  </r>
  <r>
    <x v="80"/>
    <n v="4.75"/>
    <n v="3"/>
    <n v="1.75"/>
    <n v="5"/>
    <n v="4"/>
    <n v="1"/>
    <n v="7"/>
    <n v="5"/>
    <n v="4"/>
    <n v="3"/>
  </r>
  <r>
    <x v="81"/>
    <n v="4.75"/>
    <n v="3"/>
    <n v="1.75"/>
    <n v="5"/>
    <n v="4"/>
    <n v="1"/>
    <n v="7"/>
    <n v="5"/>
    <n v="4"/>
    <n v="3"/>
  </r>
  <r>
    <x v="82"/>
    <n v="6.4285714285714288"/>
    <n v="4"/>
    <n v="2.4285714285714288"/>
    <n v="5"/>
    <n v="4"/>
    <n v="1"/>
    <n v="7"/>
    <n v="5"/>
    <n v="4"/>
    <n v="4"/>
  </r>
  <r>
    <x v="83"/>
    <n v="4.75"/>
    <n v="3"/>
    <n v="1.75"/>
    <n v="5"/>
    <n v="4"/>
    <n v="1"/>
    <n v="7"/>
    <n v="5"/>
    <n v="4"/>
    <n v="3"/>
  </r>
  <r>
    <x v="84"/>
    <n v="4.75"/>
    <n v="3"/>
    <n v="1.75"/>
    <n v="5"/>
    <n v="4"/>
    <n v="1"/>
    <n v="7"/>
    <n v="5"/>
    <n v="4"/>
    <n v="3"/>
  </r>
  <r>
    <x v="85"/>
    <n v="4.75"/>
    <n v="3"/>
    <n v="1.75"/>
    <n v="5"/>
    <n v="4"/>
    <n v="1"/>
    <n v="7"/>
    <n v="5"/>
    <n v="4"/>
    <n v="3"/>
  </r>
  <r>
    <x v="86"/>
    <n v="6.4285714285714288"/>
    <n v="4"/>
    <n v="2.4285714285714288"/>
    <n v="5"/>
    <n v="4"/>
    <n v="1"/>
    <n v="7"/>
    <n v="5"/>
    <n v="4"/>
    <n v="4"/>
  </r>
  <r>
    <x v="87"/>
    <n v="4.75"/>
    <n v="3"/>
    <n v="1.75"/>
    <n v="5"/>
    <n v="4"/>
    <n v="1"/>
    <n v="7"/>
    <n v="5"/>
    <n v="4"/>
    <n v="3"/>
  </r>
  <r>
    <x v="88"/>
    <n v="4.875"/>
    <n v="4"/>
    <n v="0.875"/>
    <n v="5"/>
    <n v="4"/>
    <n v="1"/>
    <n v="7"/>
    <n v="5"/>
    <n v="4"/>
    <n v="4"/>
  </r>
  <r>
    <x v="89"/>
    <n v="4.75"/>
    <n v="3"/>
    <n v="1.75"/>
    <n v="5"/>
    <n v="4"/>
    <n v="1"/>
    <n v="7"/>
    <n v="5"/>
    <n v="4"/>
    <n v="3"/>
  </r>
  <r>
    <x v="90"/>
    <n v="6.7142857142857144"/>
    <n v="2.5"/>
    <n v="4.2142857142857144"/>
    <n v="5"/>
    <n v="4"/>
    <n v="1"/>
    <n v="7"/>
    <n v="5"/>
    <n v="4"/>
    <n v="3"/>
  </r>
  <r>
    <x v="91"/>
    <n v="6.333333333333333"/>
    <n v="3"/>
    <n v="3.333333333333333"/>
    <n v="5"/>
    <n v="4"/>
    <n v="1"/>
    <n v="7"/>
    <n v="5"/>
    <n v="4"/>
    <n v="3"/>
  </r>
  <r>
    <x v="92"/>
    <n v="5.125"/>
    <n v="3"/>
    <n v="2.125"/>
    <n v="5"/>
    <n v="4"/>
    <n v="1"/>
    <n v="7"/>
    <n v="5"/>
    <n v="4"/>
    <n v="3"/>
  </r>
  <r>
    <x v="93"/>
    <n v="5"/>
    <n v="3"/>
    <n v="2"/>
    <n v="5"/>
    <n v="4"/>
    <n v="1"/>
    <n v="7"/>
    <n v="5"/>
    <n v="4"/>
    <n v="3"/>
  </r>
  <r>
    <x v="94"/>
    <n v="6.5714285714285712"/>
    <n v="3"/>
    <n v="3.5714285714285712"/>
    <n v="5"/>
    <n v="4"/>
    <n v="1"/>
    <n v="7"/>
    <n v="5"/>
    <n v="4"/>
    <n v="3"/>
  </r>
  <r>
    <x v="95"/>
    <n v="5"/>
    <n v="3"/>
    <n v="2"/>
    <n v="5"/>
    <n v="4"/>
    <n v="1"/>
    <n v="7"/>
    <n v="5"/>
    <n v="4"/>
    <n v="3"/>
  </r>
  <r>
    <x v="96"/>
    <n v="5"/>
    <n v="3"/>
    <n v="2"/>
    <n v="5"/>
    <n v="4"/>
    <n v="1"/>
    <n v="7"/>
    <n v="5"/>
    <n v="4"/>
    <n v="3"/>
  </r>
  <r>
    <x v="97"/>
    <n v="5.125"/>
    <n v="3"/>
    <n v="2.125"/>
    <n v="5"/>
    <n v="4"/>
    <n v="1"/>
    <n v="7"/>
    <n v="5"/>
    <n v="4"/>
    <n v="3"/>
  </r>
  <r>
    <x v="98"/>
    <n v="6.5238095238095237"/>
    <n v="3"/>
    <n v="3.5238095238095237"/>
    <n v="5"/>
    <n v="4"/>
    <n v="1"/>
    <n v="7"/>
    <n v="5"/>
    <n v="4"/>
    <n v="3"/>
  </r>
  <r>
    <x v="99"/>
    <n v="5"/>
    <n v="3"/>
    <n v="2"/>
    <n v="5"/>
    <n v="4"/>
    <n v="1"/>
    <n v="7"/>
    <n v="5"/>
    <n v="4"/>
    <n v="3"/>
  </r>
  <r>
    <x v="100"/>
    <n v="5.125"/>
    <n v="3"/>
    <n v="2.125"/>
    <n v="5"/>
    <n v="4"/>
    <n v="1"/>
    <n v="7"/>
    <n v="5"/>
    <n v="4"/>
    <n v="3"/>
  </r>
  <r>
    <x v="101"/>
    <n v="6"/>
    <n v="3"/>
    <n v="3"/>
    <n v="5"/>
    <n v="4"/>
    <n v="1"/>
    <n v="7"/>
    <n v="5"/>
    <n v="4"/>
    <n v="3"/>
  </r>
  <r>
    <x v="102"/>
    <n v="6.2380952380952381"/>
    <n v="3"/>
    <n v="3.2380952380952381"/>
    <n v="5"/>
    <n v="4"/>
    <n v="1"/>
    <n v="7"/>
    <n v="5"/>
    <n v="4"/>
    <n v="3"/>
  </r>
  <r>
    <x v="103"/>
    <n v="5.25"/>
    <n v="3"/>
    <n v="2.25"/>
    <n v="5"/>
    <n v="4"/>
    <n v="1"/>
    <n v="7"/>
    <n v="5"/>
    <n v="4"/>
    <n v="3"/>
  </r>
  <r>
    <x v="104"/>
    <n v="5.125"/>
    <n v="3"/>
    <n v="2.125"/>
    <n v="5"/>
    <n v="4"/>
    <n v="1"/>
    <n v="7"/>
    <n v="5"/>
    <n v="4"/>
    <n v="3"/>
  </r>
  <r>
    <x v="105"/>
    <n v="15.375"/>
    <n v="9"/>
    <n v="6.375"/>
    <n v="13.772727272727273"/>
    <n v="12.5"/>
    <n v="1.2727272727272734"/>
    <n v="17"/>
    <n v="14"/>
    <n v="13"/>
    <n v="9"/>
  </r>
  <r>
    <x v="106"/>
    <n v="17.61904761904762"/>
    <n v="9"/>
    <n v="8.6190476190476204"/>
    <n v="13.772727272727273"/>
    <n v="12.5"/>
    <n v="1.2727272727272734"/>
    <n v="18"/>
    <n v="14"/>
    <n v="13"/>
    <n v="9"/>
  </r>
  <r>
    <x v="107"/>
    <n v="16.125"/>
    <n v="11.5"/>
    <n v="4.625"/>
    <n v="13.772727272727273"/>
    <n v="12.5"/>
    <n v="1.2727272727272734"/>
    <n v="18"/>
    <n v="14"/>
    <n v="13"/>
    <n v="12"/>
  </r>
  <r>
    <x v="108"/>
    <n v="15.5"/>
    <n v="9"/>
    <n v="6.5"/>
    <n v="13.772727272727273"/>
    <n v="12.5"/>
    <n v="1.2727272727272734"/>
    <n v="17"/>
    <n v="14"/>
    <n v="13"/>
    <n v="9"/>
  </r>
  <r>
    <x v="109"/>
    <n v="15.5"/>
    <n v="9"/>
    <n v="6.5"/>
    <n v="13.772727272727273"/>
    <n v="12.5"/>
    <n v="1.2727272727272734"/>
    <n v="17"/>
    <n v="14"/>
    <n v="13"/>
    <n v="9"/>
  </r>
  <r>
    <x v="110"/>
    <n v="17.61904761904762"/>
    <n v="9"/>
    <n v="8.6190476190476204"/>
    <n v="13.772727272727273"/>
    <n v="12.5"/>
    <n v="1.2727272727272734"/>
    <n v="18"/>
    <n v="14"/>
    <n v="13"/>
    <n v="9"/>
  </r>
  <r>
    <x v="111"/>
    <n v="16.25"/>
    <n v="11"/>
    <n v="5.25"/>
    <n v="13.772727272727273"/>
    <n v="12.5"/>
    <n v="1.2727272727272734"/>
    <n v="18"/>
    <n v="14"/>
    <n v="13"/>
    <n v="11"/>
  </r>
  <r>
    <x v="112"/>
    <n v="15.625"/>
    <n v="9"/>
    <n v="6.625"/>
    <n v="13.772727272727273"/>
    <n v="12.5"/>
    <n v="1.2727272727272734"/>
    <n v="17"/>
    <n v="14"/>
    <n v="13"/>
    <n v="9"/>
  </r>
  <r>
    <x v="113"/>
    <n v="14.125"/>
    <n v="9"/>
    <n v="5.125"/>
    <n v="12.772727272727273"/>
    <n v="12.5"/>
    <n v="0.27272727272727337"/>
    <n v="15"/>
    <n v="13"/>
    <n v="13"/>
    <n v="9"/>
  </r>
  <r>
    <x v="114"/>
    <n v="14.666666666666666"/>
    <n v="9"/>
    <n v="5.6666666666666661"/>
    <n v="12.772727272727273"/>
    <n v="12.5"/>
    <n v="0.27272727272727337"/>
    <n v="16"/>
    <n v="13"/>
    <n v="13"/>
    <n v="9"/>
  </r>
  <r>
    <x v="115"/>
    <n v="14.75"/>
    <n v="11"/>
    <n v="3.75"/>
    <n v="12.772727272727273"/>
    <n v="12.5"/>
    <n v="0.27272727272727337"/>
    <n v="15"/>
    <n v="13"/>
    <n v="13"/>
    <n v="11"/>
  </r>
  <r>
    <x v="116"/>
    <n v="13.25"/>
    <n v="9.5"/>
    <n v="3.75"/>
    <n v="11.772727272727273"/>
    <n v="11.5"/>
    <n v="0.27272727272727337"/>
    <n v="14"/>
    <n v="12"/>
    <n v="12"/>
    <n v="10"/>
  </r>
  <r>
    <x v="117"/>
    <n v="12.75"/>
    <n v="9.5"/>
    <n v="3.25"/>
    <n v="10.772727272727273"/>
    <n v="10.5"/>
    <n v="0.27272727272727337"/>
    <n v="14"/>
    <n v="11"/>
    <n v="11"/>
    <n v="10"/>
  </r>
  <r>
    <x v="118"/>
    <n v="11.761904761904763"/>
    <n v="8.5"/>
    <n v="3.2619047619047628"/>
    <n v="9.7727272727272734"/>
    <n v="9.5"/>
    <n v="0.27272727272727337"/>
    <n v="13"/>
    <n v="10"/>
    <n v="10"/>
    <n v="9"/>
  </r>
  <r>
    <x v="119"/>
    <n v="11"/>
    <n v="9"/>
    <n v="2"/>
    <n v="8.7727272727272734"/>
    <n v="8.5"/>
    <n v="0.27272727272727337"/>
    <n v="12"/>
    <n v="9"/>
    <n v="9"/>
    <n v="9"/>
  </r>
  <r>
    <x v="120"/>
    <n v="9.25"/>
    <n v="5"/>
    <n v="4.25"/>
    <n v="7.7727272727272725"/>
    <n v="7.5"/>
    <n v="0.27272727272727249"/>
    <n v="10"/>
    <n v="8"/>
    <n v="8"/>
    <n v="5"/>
  </r>
  <r>
    <x v="121"/>
    <n v="7.25"/>
    <n v="3"/>
    <n v="4.25"/>
    <n v="6.7727272727272725"/>
    <n v="6.5"/>
    <n v="0.27272727272727249"/>
    <n v="8"/>
    <n v="7"/>
    <n v="7"/>
    <n v="3"/>
  </r>
  <r>
    <x v="122"/>
    <n v="5.8571428571428568"/>
    <n v="2"/>
    <n v="3.8571428571428568"/>
    <n v="5.7727272727272725"/>
    <n v="5.5"/>
    <n v="0.27272727272727249"/>
    <n v="6"/>
    <n v="6"/>
    <n v="6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C7CE0B-1B74-42FE-BBDF-3A6AD583958C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E127" firstHeaderRow="0" firstDataRow="1" firstDataCol="1"/>
  <pivotFields count="11">
    <pivotField axis="axisRow" showAll="0">
      <items count="1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2el*" fld="7" baseField="0" baseItem="0"/>
    <dataField name="v2cl*" fld="8" baseField="0" baseItem="0"/>
    <dataField name="v2elsn*" fld="10" baseField="0" baseItem="0"/>
    <dataField name="v2clsn*" fld="9" baseField="0" baseItem="0"/>
  </dataFields>
  <chartFormats count="4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1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A964CF-F79E-4201-8C51-D4AC44F3ACCF}" name="Table1" displayName="Table1" ref="A1:AF124" totalsRowShown="0">
  <autoFilter ref="A1:AF124" xr:uid="{C9A964CF-F79E-4201-8C51-D4AC44F3ACCF}"/>
  <tableColumns count="32">
    <tableColumn id="1" xr3:uid="{8E0FD15E-E255-44BB-A7EF-D7B67CAB0E39}" name="country_name"/>
    <tableColumn id="2" xr3:uid="{8E1B8FE4-40C9-4CDA-A995-7E273F163DF7}" name="year"/>
    <tableColumn id="3" xr3:uid="{B4369956-EC39-4647-8405-7932E6C503BF}" name="v2eldonate_nr"/>
    <tableColumn id="4" xr3:uid="{FD6D4D9D-D8E1-437F-B4E2-D8F91E679445}" name="v2elpubfin_nr"/>
    <tableColumn id="5" xr3:uid="{079249A2-4C29-4BC1-A2CA-CA95C5A26DCF}" name="v2elembaut_nr"/>
    <tableColumn id="6" xr3:uid="{8293242C-0D8E-4E8F-A0A2-8E7EC0B831D9}" name="v2elembcap_nr"/>
    <tableColumn id="7" xr3:uid="{D67C7477-0E5F-4797-A0A6-62C8887723C4}" name="v2elmulpar_nr"/>
    <tableColumn id="8" xr3:uid="{24106D94-23D3-4ACA-8DE1-ED181D48A75B}" name="v2elrgstry_nr"/>
    <tableColumn id="9" xr3:uid="{CBB4A794-6951-4CFD-B6F6-8BFFD6E31989}" name="v2elvotbuy_nr"/>
    <tableColumn id="10" xr3:uid="{44F4C320-2538-4B52-9ABD-6901901800B3}" name="v2elirreg_nr"/>
    <tableColumn id="11" xr3:uid="{D8C081D5-1B4D-472B-A9C7-283835473A53}" name="v2elintim_nr"/>
    <tableColumn id="12" xr3:uid="{367E80F6-95D4-491D-9943-33590A4EC4C7}" name="v2elpeace_nr"/>
    <tableColumn id="13" xr3:uid="{3E47F603-BFCE-4C51-A1CC-E27508A5022D}" name="v2elboycot_nr"/>
    <tableColumn id="14" xr3:uid="{A89DF9EA-3B89-4BAA-B871-E28BA1FCD297}" name="v2elfrcamp_nr"/>
    <tableColumn id="15" xr3:uid="{1E72A66E-C545-4E7D-82D8-E85344E9DCFA}" name="v2elpdcamp_nr"/>
    <tableColumn id="16" xr3:uid="{3EF67243-5B0F-407D-B317-236EBDC58F96}" name="v2elpaidig_nr"/>
    <tableColumn id="17" xr3:uid="{F2140EB1-45D1-4FC3-A930-71F80C2F1D90}" name="v2elfrfair_nr"/>
    <tableColumn id="18" xr3:uid="{FEF53B7D-FC8F-4D90-94AA-A4C66874C0CC}" name="v2elaccept_nr"/>
    <tableColumn id="19" xr3:uid="{BC4534CD-A51C-45C9-903D-0733E97F833F}" name="v2elasmoff_nr"/>
    <tableColumn id="20" xr3:uid="{323C6860-6027-4569-BF51-67DE8587DD23}" name="v2elrgpwr_nr"/>
    <tableColumn id="21" xr3:uid="{17FC3B5A-EE71-4BFA-A95B-17C26B67DB5C}" name="v2ellocpwr_nr"/>
    <tableColumn id="22" xr3:uid="{4A810C85-F257-4BAF-A046-5E2182DE8392}" name="v2elffelr_nr"/>
    <tableColumn id="23" xr3:uid="{F2963896-4575-45AF-804E-62BEA3568659}" name="v2elffelrbin_nr"/>
    <tableColumn id="24" xr3:uid="{01E414E9-8BB2-47DC-A145-E3F273EA9E11}" name="v2elsnlfc_nr"/>
    <tableColumn id="25" xr3:uid="{38EE4AA8-A067-4F2C-A846-477082E25E28}" name="v2elsnmrfc_nr"/>
    <tableColumn id="26" xr3:uid="{04A07464-EFBD-4E6F-B038-925619FD0408}" name="v2el_avg" dataDxfId="10">
      <calculatedColumnFormula>AVERAGE(Table1[[#This Row],[v2eldonate_nr]:[v2elffelrbin_nr]])</calculatedColumnFormula>
    </tableColumn>
    <tableColumn id="29" xr3:uid="{5D195042-0E54-4E3F-8361-9A900CC82454}" name="v2el_avg2" dataDxfId="9">
      <calculatedColumnFormula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calculatedColumnFormula>
    </tableColumn>
    <tableColumn id="27" xr3:uid="{535A3881-DD31-4160-BA15-9B5570F1BDBD}" name="v2elsn_avg" dataDxfId="18">
      <calculatedColumnFormula>AVERAGE(Table1[[#This Row],[v2elsnlfc_nr]:[v2elsnmrfc_nr]])</calculatedColumnFormula>
    </tableColumn>
    <tableColumn id="28" xr3:uid="{8A42B598-8307-4CDA-8D0F-0825B1809F34}" name="v2el_diff" dataDxfId="17">
      <calculatedColumnFormula>Table1[[#This Row],[v2el_avg]]-Table1[[#This Row],[v2elsn_avg]]</calculatedColumnFormula>
    </tableColumn>
    <tableColumn id="30" xr3:uid="{B1905C76-3791-40C2-BC58-B545B96C854C}" name="v2el_diff2" dataDxfId="8">
      <calculatedColumnFormula>Table1[[#This Row],[v2el_avg2]]-Table1[[#This Row],[v2elsn_avg]]</calculatedColumnFormula>
    </tableColumn>
    <tableColumn id="31" xr3:uid="{99F96F84-A064-4FEC-BF12-FBE5A850548E}" name="v2el_max" dataDxfId="7">
      <calculatedColumnFormula>MAX(Table1[[#This Row],[v2eldonate_nr]:[v2elsnmrfc_nr]])</calculatedColumnFormula>
    </tableColumn>
    <tableColumn id="32" xr3:uid="{F918B285-2B9C-4EDE-8FB6-BF80C69B9506}" name="v2elsn_max" dataDxfId="2">
      <calculatedColumnFormula>MAX(Table1[[#This Row],[v2elsnlfc_nr]:[v2elsnmrfc_nr]])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957309-88CB-4D21-9536-535693BEAC34}" name="Table13" displayName="Table13" ref="A1:AE124" totalsRowShown="0">
  <autoFilter ref="A1:AE124" xr:uid="{92522E58-387F-452B-A062-6B34746823A0}"/>
  <tableColumns count="31">
    <tableColumn id="1" xr3:uid="{EA51D97D-A189-476E-A1B1-339BBCAADB2D}" name="country_name"/>
    <tableColumn id="2" xr3:uid="{2BE20436-28DD-4A7B-8269-0FC8432A720B}" name="year"/>
    <tableColumn id="3" xr3:uid="{5F7EF4EB-5531-4E86-8604-B7381E18BF00}" name="v2cltort_nr"/>
    <tableColumn id="4" xr3:uid="{AE1C9AE5-FB8E-456E-8D93-31C7746C3062}" name="v2clkill_nr"/>
    <tableColumn id="5" xr3:uid="{DC73C8C4-F592-42BA-AB63-25EB9DA48D59}" name="v2clslavem_nr"/>
    <tableColumn id="6" xr3:uid="{D7604A59-CF53-4F95-B43A-FD5C1BB1DEEE}" name="v2clslavef_nr"/>
    <tableColumn id="7" xr3:uid="{E270F250-0A3E-4FFD-9F08-A2F65713F274}" name="v2cltrnslw_nr"/>
    <tableColumn id="8" xr3:uid="{BA9F359A-A5BC-4328-B2B3-C583D268364F}" name="v2clrspct_nr"/>
    <tableColumn id="9" xr3:uid="{6EE1B3DE-D5D2-4818-B0D4-4E8381328AC0}" name="v2clacjstm_nr"/>
    <tableColumn id="10" xr3:uid="{4D154A52-8DE1-463A-AD98-18B5EDEF962D}" name="v2clacjstw_nr"/>
    <tableColumn id="11" xr3:uid="{8FC37922-E408-40D8-B201-BFD993A209E7}" name="v2clacjust_nr"/>
    <tableColumn id="12" xr3:uid="{3B5B5DF7-28C6-4869-A0E4-76D4B476B3E0}" name="v2clsocgrp_nr"/>
    <tableColumn id="13" xr3:uid="{FC1CBCEA-8E3D-45B4-805B-FF2F917C42D2}" name="v2clrgunev_nr"/>
    <tableColumn id="14" xr3:uid="{21D8F3B5-A0ED-4709-B36B-7A21C003AF0F}" name="v2clsnlpct_nr"/>
    <tableColumn id="17" xr3:uid="{7F0B94C3-CCEC-48FD-9006-2E6D36796C69}" name="v2cldiscm_nr"/>
    <tableColumn id="18" xr3:uid="{3048737B-A160-494F-B49E-85D0F09856FA}" name="v2cldiscw_nr"/>
    <tableColumn id="19" xr3:uid="{77C862C0-51EB-4C98-9701-C0E9610E37F7}" name="v2clacfree_nr"/>
    <tableColumn id="20" xr3:uid="{C1C3F7A2-D2A6-49B1-8294-120FFC983D81}" name="v2clrelig_nr"/>
    <tableColumn id="21" xr3:uid="{8B9F28F8-BD6B-437F-BEC5-9A5036EF6D91}" name="v2clfmove_nr"/>
    <tableColumn id="22" xr3:uid="{23F54305-FDF9-43A3-A3D0-C19A79BA8413}" name="v2cldmovem_nr"/>
    <tableColumn id="23" xr3:uid="{7F3E58FF-A745-4CEB-9B7B-9EAB4737F9BD}" name="v2cldmovew_nr"/>
    <tableColumn id="24" xr3:uid="{977BDF2F-50F4-4E58-A838-A481BC690A12}" name="v2clstown_nr"/>
    <tableColumn id="25" xr3:uid="{7174BC10-4EB8-4893-80FF-0F05F8F50BC2}" name="v2clprptym_nr"/>
    <tableColumn id="26" xr3:uid="{B6FBBEE2-ECA7-471A-AB59-6DE3EC78962E}" name="v2clprptyw_nr"/>
    <tableColumn id="15" xr3:uid="{B610F931-88B3-4778-9E73-167701547617}" name="v2clrgstch_nr" dataDxfId="16"/>
    <tableColumn id="16" xr3:uid="{4874F87E-461B-4E22-B637-4CCCBD3623B4}" name="v2clrgwkch_nr" dataDxfId="15"/>
    <tableColumn id="27" xr3:uid="{D343818E-EEE6-4257-99B8-2D157C69AEBA}" name="v2cl_avg" dataDxfId="14">
      <calculatedColumnFormula>AVERAGE(Table13[[#This Row],[v2cltort_nr]:[v2clprptyw_nr]])</calculatedColumnFormula>
    </tableColumn>
    <tableColumn id="28" xr3:uid="{DADF0F25-C3A6-4F21-B146-C53E445786DF}" name="v2clsn_avg" dataDxfId="13">
      <calculatedColumnFormula>AVERAGE(Table13[[#This Row],[v2clrgstch_nr]:[v2clrgwkch_nr]])</calculatedColumnFormula>
    </tableColumn>
    <tableColumn id="29" xr3:uid="{843F4E3D-17A0-4A5D-B56A-8833A3168D30}" name="v2cl_diff" dataDxfId="12">
      <calculatedColumnFormula>Table13[[#This Row],[v2cl_avg]]-Table13[[#This Row],[v2clsn_avg]]</calculatedColumnFormula>
    </tableColumn>
    <tableColumn id="32" xr3:uid="{93F120F7-6229-4D50-B6AF-1B091ECF97DC}" name="v2cl_max" dataDxfId="6">
      <calculatedColumnFormula>MAX(Table13[[#This Row],[v2cltort_nr]:[v2clrgwkch_nr]])</calculatedColumnFormula>
    </tableColumn>
    <tableColumn id="33" xr3:uid="{4CB16A0D-9670-4C89-8EB9-E208D6B7CEA7}" name="v2clsn_max" dataDxfId="3">
      <calculatedColumnFormula>MAX(Table13[[#This Row],[v2clrgstch_nr]:[v2clrgwkch_nr]])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08E508-F8EB-430A-8E26-A721BBF4E246}" name="Table3" displayName="Table3" ref="A1:K124" totalsRowShown="0">
  <autoFilter ref="A1:K124" xr:uid="{8008E508-F8EB-430A-8E26-A721BBF4E246}"/>
  <tableColumns count="11">
    <tableColumn id="1" xr3:uid="{451798E8-18A8-4C66-9CFA-AA444D8EBC34}" name="Year" dataDxfId="11"/>
    <tableColumn id="2" xr3:uid="{FC5383BC-592A-4747-BC6F-4B96686E9492}" name="v2el_avg">
      <calculatedColumnFormula>AVERAGE(Table1[[#This Row],[v2eldonate_nr]:[v2elffelrbin_nr]])</calculatedColumnFormula>
    </tableColumn>
    <tableColumn id="3" xr3:uid="{153E84A8-E16C-4810-984C-4930DFC44F3D}" name="v2elsn_avg">
      <calculatedColumnFormula>AVERAGE(Table1[[#This Row],[v2elsnlfc_nr]:[v2elsnmrfc_nr]])</calculatedColumnFormula>
    </tableColumn>
    <tableColumn id="4" xr3:uid="{7E52C4D6-3698-450B-A1D1-99F6CFD16E5D}" name="v2el_diff">
      <calculatedColumnFormula>Table1[[#This Row],[v2el_avg]]-Table1[[#This Row],[v2elsn_avg]]</calculatedColumnFormula>
    </tableColumn>
    <tableColumn id="5" xr3:uid="{FBCA0E15-FDB9-47D6-8CB5-619845000131}" name="v2cl_avg">
      <calculatedColumnFormula>AVERAGE(Table13[[#This Row],[v2cltort_nr]:[v2clprptyw_nr]])</calculatedColumnFormula>
    </tableColumn>
    <tableColumn id="6" xr3:uid="{BC5EDB5C-3165-48C5-ADD1-815038144CFD}" name="v2clsn_avg">
      <calculatedColumnFormula>AVERAGE(Table13[[#This Row],[v2clrgstch_nr]:[v2clrgwkch_nr]])</calculatedColumnFormula>
    </tableColumn>
    <tableColumn id="7" xr3:uid="{BF309108-9DCF-488E-AAC7-46E5E76E9AF1}" name="v2cl_diff">
      <calculatedColumnFormula>Table13[[#This Row],[v2cl_avg]]-Table13[[#This Row],[v2clsn_avg]]</calculatedColumnFormula>
    </tableColumn>
    <tableColumn id="8" xr3:uid="{B0EBB9A1-0889-4A6C-B1DE-D6C182A05208}" name="v2el_max" dataDxfId="5">
      <calculatedColumnFormula>MAX(Table1[[#This Row],[v2eldonate_nr]:[v2elsnmrfc_nr]])</calculatedColumnFormula>
    </tableColumn>
    <tableColumn id="9" xr3:uid="{7FE224CF-F01E-47E9-87BC-39BD9B5C34B8}" name="v2cl_max" dataDxfId="4">
      <calculatedColumnFormula>MAX(Table13[[#This Row],[v2cltort_nr]:[v2clrgwkch_nr]])</calculatedColumnFormula>
    </tableColumn>
    <tableColumn id="10" xr3:uid="{901C7D9B-DA24-46AA-BD8D-D150F7F4D14D}" name="v2clsn_max" dataDxfId="1">
      <calculatedColumnFormula>MAX(Table13[[#This Row],[v2clrgstch_nr]:[v2clrgwkch_nr]])</calculatedColumnFormula>
    </tableColumn>
    <tableColumn id="11" xr3:uid="{BC3E1BEA-C0A7-4484-B3F1-B1019566F2DE}" name="v2elsn_max" dataDxfId="0">
      <calculatedColumnFormula>MAX(Table1[[#This Row],[v2elsnlfc_nr]:[v2elsnmrfc_nr]])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729D-AB5E-4733-B9DA-DCB93EC7BEB5}">
  <dimension ref="A1:AF124"/>
  <sheetViews>
    <sheetView workbookViewId="0">
      <selection activeCell="Y128" sqref="Y128"/>
    </sheetView>
  </sheetViews>
  <sheetFormatPr defaultRowHeight="14.5" x14ac:dyDescent="0.35"/>
  <cols>
    <col min="1" max="1" width="15" customWidth="1"/>
    <col min="3" max="3" width="15.1796875" customWidth="1"/>
    <col min="4" max="4" width="14.7265625" customWidth="1"/>
    <col min="5" max="5" width="15.7265625" customWidth="1"/>
    <col min="6" max="6" width="15.81640625" customWidth="1"/>
    <col min="7" max="8" width="15.36328125" customWidth="1"/>
    <col min="9" max="9" width="15" customWidth="1"/>
    <col min="10" max="10" width="13.08984375" customWidth="1"/>
    <col min="11" max="11" width="13.6328125" customWidth="1"/>
    <col min="12" max="12" width="14.1796875" customWidth="1"/>
    <col min="13" max="13" width="14.90625" customWidth="1"/>
    <col min="14" max="14" width="15" customWidth="1"/>
    <col min="15" max="15" width="15.81640625" customWidth="1"/>
    <col min="16" max="16" width="14.36328125" customWidth="1"/>
    <col min="17" max="17" width="13.36328125" customWidth="1"/>
    <col min="18" max="18" width="14.6328125" customWidth="1"/>
    <col min="19" max="19" width="15" customWidth="1"/>
    <col min="20" max="20" width="14.08984375" customWidth="1"/>
    <col min="21" max="21" width="14.90625" customWidth="1"/>
    <col min="22" max="22" width="12.81640625" customWidth="1"/>
    <col min="23" max="23" width="15.54296875" customWidth="1"/>
    <col min="24" max="24" width="13.6328125" customWidth="1"/>
    <col min="25" max="25" width="14.90625" customWidth="1"/>
  </cols>
  <sheetData>
    <row r="1" spans="1:32" x14ac:dyDescent="0.35">
      <c r="A1" t="s">
        <v>0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s="8" t="s">
        <v>2</v>
      </c>
      <c r="Y1" s="8" t="s">
        <v>3</v>
      </c>
      <c r="Z1" s="7" t="s">
        <v>52</v>
      </c>
      <c r="AA1" s="7" t="s">
        <v>59</v>
      </c>
      <c r="AB1" s="7" t="s">
        <v>53</v>
      </c>
      <c r="AC1" s="7" t="s">
        <v>54</v>
      </c>
      <c r="AD1" s="7" t="s">
        <v>60</v>
      </c>
      <c r="AE1" s="7" t="s">
        <v>61</v>
      </c>
      <c r="AF1" s="7" t="s">
        <v>64</v>
      </c>
    </row>
    <row r="2" spans="1:32" x14ac:dyDescent="0.35">
      <c r="A2" t="s">
        <v>4</v>
      </c>
      <c r="B2">
        <v>1900</v>
      </c>
      <c r="C2">
        <v>3</v>
      </c>
      <c r="D2">
        <v>4</v>
      </c>
      <c r="E2">
        <v>5</v>
      </c>
      <c r="F2">
        <v>4</v>
      </c>
      <c r="T2">
        <v>7</v>
      </c>
      <c r="U2">
        <v>8</v>
      </c>
      <c r="V2">
        <v>6</v>
      </c>
      <c r="W2">
        <v>7</v>
      </c>
      <c r="X2">
        <v>3</v>
      </c>
      <c r="Y2">
        <v>2</v>
      </c>
      <c r="Z2">
        <f>AVERAGE(Table1[[#This Row],[v2eldonate_nr]:[v2elffelrbin_nr]])</f>
        <v>5.5</v>
      </c>
      <c r="AA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2">
        <f>AVERAGE(Table1[[#This Row],[v2elsnlfc_nr]:[v2elsnmrfc_nr]])</f>
        <v>2.5</v>
      </c>
      <c r="AC2">
        <f>Table1[[#This Row],[v2el_avg]]-Table1[[#This Row],[v2elsn_avg]]</f>
        <v>3</v>
      </c>
      <c r="AD2" s="4">
        <f>Table1[[#This Row],[v2el_avg2]]-Table1[[#This Row],[v2elsn_avg]]</f>
        <v>2.4000000000000004</v>
      </c>
      <c r="AE2" s="4">
        <f>MAX(Table1[[#This Row],[v2eldonate_nr]:[v2elsnmrfc_nr]])</f>
        <v>8</v>
      </c>
      <c r="AF2" s="4">
        <f>MAX(Table1[[#This Row],[v2elsnlfc_nr]:[v2elsnmrfc_nr]])</f>
        <v>3</v>
      </c>
    </row>
    <row r="3" spans="1:32" x14ac:dyDescent="0.35">
      <c r="A3" t="s">
        <v>4</v>
      </c>
      <c r="B3">
        <v>1901</v>
      </c>
      <c r="C3">
        <v>3</v>
      </c>
      <c r="D3">
        <v>4</v>
      </c>
      <c r="E3">
        <v>5</v>
      </c>
      <c r="F3">
        <v>4</v>
      </c>
      <c r="T3">
        <v>7</v>
      </c>
      <c r="U3">
        <v>8</v>
      </c>
      <c r="V3">
        <v>6</v>
      </c>
      <c r="W3">
        <v>7</v>
      </c>
      <c r="X3">
        <v>3</v>
      </c>
      <c r="Y3">
        <v>2</v>
      </c>
      <c r="Z3">
        <f>AVERAGE(Table1[[#This Row],[v2eldonate_nr]:[v2elffelrbin_nr]])</f>
        <v>5.5</v>
      </c>
      <c r="AA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3">
        <f>AVERAGE(Table1[[#This Row],[v2elsnlfc_nr]:[v2elsnmrfc_nr]])</f>
        <v>2.5</v>
      </c>
      <c r="AC3">
        <f>Table1[[#This Row],[v2el_avg]]-Table1[[#This Row],[v2elsn_avg]]</f>
        <v>3</v>
      </c>
      <c r="AD3" s="4">
        <f>Table1[[#This Row],[v2el_avg2]]-Table1[[#This Row],[v2elsn_avg]]</f>
        <v>2.4000000000000004</v>
      </c>
      <c r="AE3" s="4">
        <f>MAX(Table1[[#This Row],[v2eldonate_nr]:[v2elsnmrfc_nr]])</f>
        <v>8</v>
      </c>
      <c r="AF3" s="4">
        <f>MAX(Table1[[#This Row],[v2elsnlfc_nr]:[v2elsnmrfc_nr]])</f>
        <v>3</v>
      </c>
    </row>
    <row r="4" spans="1:32" x14ac:dyDescent="0.35">
      <c r="A4" t="s">
        <v>4</v>
      </c>
      <c r="B4">
        <v>1902</v>
      </c>
      <c r="C4">
        <v>3</v>
      </c>
      <c r="D4">
        <v>4</v>
      </c>
      <c r="E4">
        <v>5</v>
      </c>
      <c r="F4">
        <v>4</v>
      </c>
      <c r="T4">
        <v>7</v>
      </c>
      <c r="U4">
        <v>8</v>
      </c>
      <c r="V4">
        <v>6</v>
      </c>
      <c r="W4">
        <v>7</v>
      </c>
      <c r="X4">
        <v>3</v>
      </c>
      <c r="Y4">
        <v>2</v>
      </c>
      <c r="Z4">
        <f>AVERAGE(Table1[[#This Row],[v2eldonate_nr]:[v2elffelrbin_nr]])</f>
        <v>5.5</v>
      </c>
      <c r="AA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4">
        <f>AVERAGE(Table1[[#This Row],[v2elsnlfc_nr]:[v2elsnmrfc_nr]])</f>
        <v>2.5</v>
      </c>
      <c r="AC4">
        <f>Table1[[#This Row],[v2el_avg]]-Table1[[#This Row],[v2elsn_avg]]</f>
        <v>3</v>
      </c>
      <c r="AD4" s="4">
        <f>Table1[[#This Row],[v2el_avg2]]-Table1[[#This Row],[v2elsn_avg]]</f>
        <v>2.4000000000000004</v>
      </c>
      <c r="AE4" s="4">
        <f>MAX(Table1[[#This Row],[v2eldonate_nr]:[v2elsnmrfc_nr]])</f>
        <v>8</v>
      </c>
      <c r="AF4" s="4">
        <f>MAX(Table1[[#This Row],[v2elsnlfc_nr]:[v2elsnmrfc_nr]])</f>
        <v>3</v>
      </c>
    </row>
    <row r="5" spans="1:32" x14ac:dyDescent="0.35">
      <c r="A5" t="s">
        <v>4</v>
      </c>
      <c r="B5">
        <v>1903</v>
      </c>
      <c r="C5">
        <v>3</v>
      </c>
      <c r="D5">
        <v>4</v>
      </c>
      <c r="E5">
        <v>5</v>
      </c>
      <c r="F5">
        <v>4</v>
      </c>
      <c r="T5">
        <v>7</v>
      </c>
      <c r="U5">
        <v>8</v>
      </c>
      <c r="V5">
        <v>6</v>
      </c>
      <c r="W5">
        <v>7</v>
      </c>
      <c r="X5">
        <v>3</v>
      </c>
      <c r="Y5">
        <v>2</v>
      </c>
      <c r="Z5">
        <f>AVERAGE(Table1[[#This Row],[v2eldonate_nr]:[v2elffelrbin_nr]])</f>
        <v>5.5</v>
      </c>
      <c r="AA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5">
        <f>AVERAGE(Table1[[#This Row],[v2elsnlfc_nr]:[v2elsnmrfc_nr]])</f>
        <v>2.5</v>
      </c>
      <c r="AC5">
        <f>Table1[[#This Row],[v2el_avg]]-Table1[[#This Row],[v2elsn_avg]]</f>
        <v>3</v>
      </c>
      <c r="AD5" s="4">
        <f>Table1[[#This Row],[v2el_avg2]]-Table1[[#This Row],[v2elsn_avg]]</f>
        <v>2.4000000000000004</v>
      </c>
      <c r="AE5" s="4">
        <f>MAX(Table1[[#This Row],[v2eldonate_nr]:[v2elsnmrfc_nr]])</f>
        <v>8</v>
      </c>
      <c r="AF5" s="4">
        <f>MAX(Table1[[#This Row],[v2elsnlfc_nr]:[v2elsnmrfc_nr]])</f>
        <v>3</v>
      </c>
    </row>
    <row r="6" spans="1:32" x14ac:dyDescent="0.35">
      <c r="A6" t="s">
        <v>4</v>
      </c>
      <c r="B6">
        <v>1904</v>
      </c>
      <c r="C6">
        <v>3</v>
      </c>
      <c r="D6">
        <v>4</v>
      </c>
      <c r="E6">
        <v>5</v>
      </c>
      <c r="F6">
        <v>4</v>
      </c>
      <c r="T6">
        <v>7</v>
      </c>
      <c r="U6">
        <v>8</v>
      </c>
      <c r="V6">
        <v>6</v>
      </c>
      <c r="W6">
        <v>7</v>
      </c>
      <c r="X6">
        <v>3</v>
      </c>
      <c r="Y6">
        <v>2</v>
      </c>
      <c r="Z6">
        <f>AVERAGE(Table1[[#This Row],[v2eldonate_nr]:[v2elffelrbin_nr]])</f>
        <v>5.5</v>
      </c>
      <c r="AA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6">
        <f>AVERAGE(Table1[[#This Row],[v2elsnlfc_nr]:[v2elsnmrfc_nr]])</f>
        <v>2.5</v>
      </c>
      <c r="AC6">
        <f>Table1[[#This Row],[v2el_avg]]-Table1[[#This Row],[v2elsn_avg]]</f>
        <v>3</v>
      </c>
      <c r="AD6" s="4">
        <f>Table1[[#This Row],[v2el_avg2]]-Table1[[#This Row],[v2elsn_avg]]</f>
        <v>2.4000000000000004</v>
      </c>
      <c r="AE6" s="4">
        <f>MAX(Table1[[#This Row],[v2eldonate_nr]:[v2elsnmrfc_nr]])</f>
        <v>8</v>
      </c>
      <c r="AF6" s="4">
        <f>MAX(Table1[[#This Row],[v2elsnlfc_nr]:[v2elsnmrfc_nr]])</f>
        <v>3</v>
      </c>
    </row>
    <row r="7" spans="1:32" x14ac:dyDescent="0.35">
      <c r="A7" t="s">
        <v>4</v>
      </c>
      <c r="B7">
        <v>1905</v>
      </c>
      <c r="C7">
        <v>3</v>
      </c>
      <c r="D7">
        <v>4</v>
      </c>
      <c r="E7">
        <v>5</v>
      </c>
      <c r="F7">
        <v>4</v>
      </c>
      <c r="T7">
        <v>7</v>
      </c>
      <c r="U7">
        <v>8</v>
      </c>
      <c r="V7">
        <v>6</v>
      </c>
      <c r="W7">
        <v>7</v>
      </c>
      <c r="X7">
        <v>3</v>
      </c>
      <c r="Y7">
        <v>2</v>
      </c>
      <c r="Z7">
        <f>AVERAGE(Table1[[#This Row],[v2eldonate_nr]:[v2elffelrbin_nr]])</f>
        <v>5.5</v>
      </c>
      <c r="AA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7">
        <f>AVERAGE(Table1[[#This Row],[v2elsnlfc_nr]:[v2elsnmrfc_nr]])</f>
        <v>2.5</v>
      </c>
      <c r="AC7">
        <f>Table1[[#This Row],[v2el_avg]]-Table1[[#This Row],[v2elsn_avg]]</f>
        <v>3</v>
      </c>
      <c r="AD7" s="4">
        <f>Table1[[#This Row],[v2el_avg2]]-Table1[[#This Row],[v2elsn_avg]]</f>
        <v>2.4000000000000004</v>
      </c>
      <c r="AE7" s="4">
        <f>MAX(Table1[[#This Row],[v2eldonate_nr]:[v2elsnmrfc_nr]])</f>
        <v>8</v>
      </c>
      <c r="AF7" s="4">
        <f>MAX(Table1[[#This Row],[v2elsnlfc_nr]:[v2elsnmrfc_nr]])</f>
        <v>3</v>
      </c>
    </row>
    <row r="8" spans="1:32" x14ac:dyDescent="0.35">
      <c r="A8" t="s">
        <v>4</v>
      </c>
      <c r="B8">
        <v>1906</v>
      </c>
      <c r="C8">
        <v>3</v>
      </c>
      <c r="D8">
        <v>4</v>
      </c>
      <c r="E8">
        <v>5</v>
      </c>
      <c r="F8">
        <v>4</v>
      </c>
      <c r="T8">
        <v>7</v>
      </c>
      <c r="U8">
        <v>8</v>
      </c>
      <c r="V8">
        <v>6</v>
      </c>
      <c r="W8">
        <v>7</v>
      </c>
      <c r="X8">
        <v>3</v>
      </c>
      <c r="Y8">
        <v>2</v>
      </c>
      <c r="Z8">
        <f>AVERAGE(Table1[[#This Row],[v2eldonate_nr]:[v2elffelrbin_nr]])</f>
        <v>5.5</v>
      </c>
      <c r="AA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8">
        <f>AVERAGE(Table1[[#This Row],[v2elsnlfc_nr]:[v2elsnmrfc_nr]])</f>
        <v>2.5</v>
      </c>
      <c r="AC8">
        <f>Table1[[#This Row],[v2el_avg]]-Table1[[#This Row],[v2elsn_avg]]</f>
        <v>3</v>
      </c>
      <c r="AD8" s="4">
        <f>Table1[[#This Row],[v2el_avg2]]-Table1[[#This Row],[v2elsn_avg]]</f>
        <v>2.4000000000000004</v>
      </c>
      <c r="AE8" s="4">
        <f>MAX(Table1[[#This Row],[v2eldonate_nr]:[v2elsnmrfc_nr]])</f>
        <v>8</v>
      </c>
      <c r="AF8" s="4">
        <f>MAX(Table1[[#This Row],[v2elsnlfc_nr]:[v2elsnmrfc_nr]])</f>
        <v>3</v>
      </c>
    </row>
    <row r="9" spans="1:32" x14ac:dyDescent="0.35">
      <c r="A9" t="s">
        <v>4</v>
      </c>
      <c r="B9">
        <v>1907</v>
      </c>
      <c r="C9">
        <v>3</v>
      </c>
      <c r="D9">
        <v>4</v>
      </c>
      <c r="E9">
        <v>5</v>
      </c>
      <c r="F9">
        <v>4</v>
      </c>
      <c r="T9">
        <v>7</v>
      </c>
      <c r="U9">
        <v>8</v>
      </c>
      <c r="V9">
        <v>6</v>
      </c>
      <c r="W9">
        <v>7</v>
      </c>
      <c r="X9">
        <v>3</v>
      </c>
      <c r="Y9">
        <v>2</v>
      </c>
      <c r="Z9">
        <f>AVERAGE(Table1[[#This Row],[v2eldonate_nr]:[v2elffelrbin_nr]])</f>
        <v>5.5</v>
      </c>
      <c r="AA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9">
        <f>AVERAGE(Table1[[#This Row],[v2elsnlfc_nr]:[v2elsnmrfc_nr]])</f>
        <v>2.5</v>
      </c>
      <c r="AC9">
        <f>Table1[[#This Row],[v2el_avg]]-Table1[[#This Row],[v2elsn_avg]]</f>
        <v>3</v>
      </c>
      <c r="AD9" s="4">
        <f>Table1[[#This Row],[v2el_avg2]]-Table1[[#This Row],[v2elsn_avg]]</f>
        <v>2.4000000000000004</v>
      </c>
      <c r="AE9" s="4">
        <f>MAX(Table1[[#This Row],[v2eldonate_nr]:[v2elsnmrfc_nr]])</f>
        <v>8</v>
      </c>
      <c r="AF9" s="4">
        <f>MAX(Table1[[#This Row],[v2elsnlfc_nr]:[v2elsnmrfc_nr]])</f>
        <v>3</v>
      </c>
    </row>
    <row r="10" spans="1:32" x14ac:dyDescent="0.35">
      <c r="A10" t="s">
        <v>4</v>
      </c>
      <c r="B10">
        <v>1908</v>
      </c>
      <c r="C10">
        <v>3</v>
      </c>
      <c r="D10">
        <v>4</v>
      </c>
      <c r="E10">
        <v>5</v>
      </c>
      <c r="F10">
        <v>4</v>
      </c>
      <c r="T10">
        <v>7</v>
      </c>
      <c r="U10">
        <v>8</v>
      </c>
      <c r="V10">
        <v>6</v>
      </c>
      <c r="W10">
        <v>7</v>
      </c>
      <c r="X10">
        <v>3</v>
      </c>
      <c r="Y10">
        <v>2</v>
      </c>
      <c r="Z10">
        <f>AVERAGE(Table1[[#This Row],[v2eldonate_nr]:[v2elffelrbin_nr]])</f>
        <v>5.5</v>
      </c>
      <c r="AA1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0">
        <f>AVERAGE(Table1[[#This Row],[v2elsnlfc_nr]:[v2elsnmrfc_nr]])</f>
        <v>2.5</v>
      </c>
      <c r="AC10">
        <f>Table1[[#This Row],[v2el_avg]]-Table1[[#This Row],[v2elsn_avg]]</f>
        <v>3</v>
      </c>
      <c r="AD10" s="4">
        <f>Table1[[#This Row],[v2el_avg2]]-Table1[[#This Row],[v2elsn_avg]]</f>
        <v>2.4000000000000004</v>
      </c>
      <c r="AE10" s="4">
        <f>MAX(Table1[[#This Row],[v2eldonate_nr]:[v2elsnmrfc_nr]])</f>
        <v>8</v>
      </c>
      <c r="AF10" s="4">
        <f>MAX(Table1[[#This Row],[v2elsnlfc_nr]:[v2elsnmrfc_nr]])</f>
        <v>3</v>
      </c>
    </row>
    <row r="11" spans="1:32" x14ac:dyDescent="0.35">
      <c r="A11" t="s">
        <v>4</v>
      </c>
      <c r="B11">
        <v>1909</v>
      </c>
      <c r="C11">
        <v>3</v>
      </c>
      <c r="D11">
        <v>4</v>
      </c>
      <c r="E11">
        <v>5</v>
      </c>
      <c r="F11">
        <v>4</v>
      </c>
      <c r="T11">
        <v>7</v>
      </c>
      <c r="U11">
        <v>8</v>
      </c>
      <c r="V11">
        <v>6</v>
      </c>
      <c r="W11">
        <v>7</v>
      </c>
      <c r="X11">
        <v>3</v>
      </c>
      <c r="Y11">
        <v>2</v>
      </c>
      <c r="Z11">
        <f>AVERAGE(Table1[[#This Row],[v2eldonate_nr]:[v2elffelrbin_nr]])</f>
        <v>5.5</v>
      </c>
      <c r="AA1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1">
        <f>AVERAGE(Table1[[#This Row],[v2elsnlfc_nr]:[v2elsnmrfc_nr]])</f>
        <v>2.5</v>
      </c>
      <c r="AC11">
        <f>Table1[[#This Row],[v2el_avg]]-Table1[[#This Row],[v2elsn_avg]]</f>
        <v>3</v>
      </c>
      <c r="AD11" s="4">
        <f>Table1[[#This Row],[v2el_avg2]]-Table1[[#This Row],[v2elsn_avg]]</f>
        <v>2.4000000000000004</v>
      </c>
      <c r="AE11" s="4">
        <f>MAX(Table1[[#This Row],[v2eldonate_nr]:[v2elsnmrfc_nr]])</f>
        <v>8</v>
      </c>
      <c r="AF11" s="4">
        <f>MAX(Table1[[#This Row],[v2elsnlfc_nr]:[v2elsnmrfc_nr]])</f>
        <v>3</v>
      </c>
    </row>
    <row r="12" spans="1:32" x14ac:dyDescent="0.35">
      <c r="A12" t="s">
        <v>4</v>
      </c>
      <c r="B12">
        <v>1910</v>
      </c>
      <c r="C12">
        <v>3</v>
      </c>
      <c r="D12">
        <v>4</v>
      </c>
      <c r="E12">
        <v>5</v>
      </c>
      <c r="F12">
        <v>4</v>
      </c>
      <c r="G12">
        <v>4</v>
      </c>
      <c r="H12">
        <v>3</v>
      </c>
      <c r="I12">
        <v>2</v>
      </c>
      <c r="J12">
        <v>2</v>
      </c>
      <c r="K12">
        <v>2</v>
      </c>
      <c r="L12">
        <v>4</v>
      </c>
      <c r="M12">
        <v>3</v>
      </c>
      <c r="N12">
        <v>2</v>
      </c>
      <c r="O12">
        <v>3</v>
      </c>
      <c r="P12">
        <v>1</v>
      </c>
      <c r="Q12">
        <v>3</v>
      </c>
      <c r="R12">
        <v>4</v>
      </c>
      <c r="S12">
        <v>3</v>
      </c>
      <c r="T12">
        <v>7</v>
      </c>
      <c r="U12">
        <v>8</v>
      </c>
      <c r="V12">
        <v>6</v>
      </c>
      <c r="W12">
        <v>7</v>
      </c>
      <c r="X12">
        <v>3</v>
      </c>
      <c r="Y12">
        <v>2</v>
      </c>
      <c r="Z12">
        <f>AVERAGE(Table1[[#This Row],[v2eldonate_nr]:[v2elffelrbin_nr]])</f>
        <v>3.8095238095238093</v>
      </c>
      <c r="AA1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2">
        <f>AVERAGE(Table1[[#This Row],[v2elsnlfc_nr]:[v2elsnmrfc_nr]])</f>
        <v>2.5</v>
      </c>
      <c r="AC12">
        <f>Table1[[#This Row],[v2el_avg]]-Table1[[#This Row],[v2elsn_avg]]</f>
        <v>1.3095238095238093</v>
      </c>
      <c r="AD12" s="4">
        <f>Table1[[#This Row],[v2el_avg2]]-Table1[[#This Row],[v2elsn_avg]]</f>
        <v>2.4000000000000004</v>
      </c>
      <c r="AE12" s="4">
        <f>MAX(Table1[[#This Row],[v2eldonate_nr]:[v2elsnmrfc_nr]])</f>
        <v>8</v>
      </c>
      <c r="AF12" s="4">
        <f>MAX(Table1[[#This Row],[v2elsnlfc_nr]:[v2elsnmrfc_nr]])</f>
        <v>3</v>
      </c>
    </row>
    <row r="13" spans="1:32" x14ac:dyDescent="0.35">
      <c r="A13" t="s">
        <v>4</v>
      </c>
      <c r="B13">
        <v>1911</v>
      </c>
      <c r="C13">
        <v>3</v>
      </c>
      <c r="D13">
        <v>4</v>
      </c>
      <c r="E13">
        <v>5</v>
      </c>
      <c r="F13">
        <v>4</v>
      </c>
      <c r="T13">
        <v>7</v>
      </c>
      <c r="U13">
        <v>8</v>
      </c>
      <c r="V13">
        <v>6</v>
      </c>
      <c r="W13">
        <v>7</v>
      </c>
      <c r="X13">
        <v>3</v>
      </c>
      <c r="Y13">
        <v>2</v>
      </c>
      <c r="Z13">
        <f>AVERAGE(Table1[[#This Row],[v2eldonate_nr]:[v2elffelrbin_nr]])</f>
        <v>5.5</v>
      </c>
      <c r="AA1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3">
        <f>AVERAGE(Table1[[#This Row],[v2elsnlfc_nr]:[v2elsnmrfc_nr]])</f>
        <v>2.5</v>
      </c>
      <c r="AC13">
        <f>Table1[[#This Row],[v2el_avg]]-Table1[[#This Row],[v2elsn_avg]]</f>
        <v>3</v>
      </c>
      <c r="AD13" s="4">
        <f>Table1[[#This Row],[v2el_avg2]]-Table1[[#This Row],[v2elsn_avg]]</f>
        <v>2.4000000000000004</v>
      </c>
      <c r="AE13" s="4">
        <f>MAX(Table1[[#This Row],[v2eldonate_nr]:[v2elsnmrfc_nr]])</f>
        <v>8</v>
      </c>
      <c r="AF13" s="4">
        <f>MAX(Table1[[#This Row],[v2elsnlfc_nr]:[v2elsnmrfc_nr]])</f>
        <v>3</v>
      </c>
    </row>
    <row r="14" spans="1:32" x14ac:dyDescent="0.35">
      <c r="A14" t="s">
        <v>4</v>
      </c>
      <c r="B14">
        <v>1912</v>
      </c>
      <c r="C14">
        <v>3</v>
      </c>
      <c r="D14">
        <v>4</v>
      </c>
      <c r="E14">
        <v>5</v>
      </c>
      <c r="F14">
        <v>4</v>
      </c>
      <c r="T14">
        <v>7</v>
      </c>
      <c r="U14">
        <v>8</v>
      </c>
      <c r="V14">
        <v>6</v>
      </c>
      <c r="W14">
        <v>7</v>
      </c>
      <c r="X14">
        <v>3</v>
      </c>
      <c r="Y14">
        <v>2</v>
      </c>
      <c r="Z14">
        <f>AVERAGE(Table1[[#This Row],[v2eldonate_nr]:[v2elffelrbin_nr]])</f>
        <v>5.5</v>
      </c>
      <c r="AA1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4">
        <f>AVERAGE(Table1[[#This Row],[v2elsnlfc_nr]:[v2elsnmrfc_nr]])</f>
        <v>2.5</v>
      </c>
      <c r="AC14">
        <f>Table1[[#This Row],[v2el_avg]]-Table1[[#This Row],[v2elsn_avg]]</f>
        <v>3</v>
      </c>
      <c r="AD14" s="4">
        <f>Table1[[#This Row],[v2el_avg2]]-Table1[[#This Row],[v2elsn_avg]]</f>
        <v>2.4000000000000004</v>
      </c>
      <c r="AE14" s="4">
        <f>MAX(Table1[[#This Row],[v2eldonate_nr]:[v2elsnmrfc_nr]])</f>
        <v>8</v>
      </c>
      <c r="AF14" s="4">
        <f>MAX(Table1[[#This Row],[v2elsnlfc_nr]:[v2elsnmrfc_nr]])</f>
        <v>3</v>
      </c>
    </row>
    <row r="15" spans="1:32" x14ac:dyDescent="0.35">
      <c r="A15" t="s">
        <v>4</v>
      </c>
      <c r="B15">
        <v>1913</v>
      </c>
      <c r="C15">
        <v>3</v>
      </c>
      <c r="D15">
        <v>4</v>
      </c>
      <c r="E15">
        <v>5</v>
      </c>
      <c r="F15">
        <v>4</v>
      </c>
      <c r="T15">
        <v>7</v>
      </c>
      <c r="U15">
        <v>8</v>
      </c>
      <c r="V15">
        <v>6</v>
      </c>
      <c r="W15">
        <v>7</v>
      </c>
      <c r="X15">
        <v>3</v>
      </c>
      <c r="Y15">
        <v>2</v>
      </c>
      <c r="Z15">
        <f>AVERAGE(Table1[[#This Row],[v2eldonate_nr]:[v2elffelrbin_nr]])</f>
        <v>5.5</v>
      </c>
      <c r="AA1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5">
        <f>AVERAGE(Table1[[#This Row],[v2elsnlfc_nr]:[v2elsnmrfc_nr]])</f>
        <v>2.5</v>
      </c>
      <c r="AC15">
        <f>Table1[[#This Row],[v2el_avg]]-Table1[[#This Row],[v2elsn_avg]]</f>
        <v>3</v>
      </c>
      <c r="AD15" s="4">
        <f>Table1[[#This Row],[v2el_avg2]]-Table1[[#This Row],[v2elsn_avg]]</f>
        <v>2.4000000000000004</v>
      </c>
      <c r="AE15" s="4">
        <f>MAX(Table1[[#This Row],[v2eldonate_nr]:[v2elsnmrfc_nr]])</f>
        <v>8</v>
      </c>
      <c r="AF15" s="4">
        <f>MAX(Table1[[#This Row],[v2elsnlfc_nr]:[v2elsnmrfc_nr]])</f>
        <v>3</v>
      </c>
    </row>
    <row r="16" spans="1:32" x14ac:dyDescent="0.35">
      <c r="A16" t="s">
        <v>4</v>
      </c>
      <c r="B16">
        <v>1914</v>
      </c>
      <c r="C16">
        <v>8</v>
      </c>
      <c r="D16">
        <v>8</v>
      </c>
      <c r="E16">
        <v>8</v>
      </c>
      <c r="F16">
        <v>7</v>
      </c>
      <c r="G16">
        <v>8</v>
      </c>
      <c r="H16">
        <v>7</v>
      </c>
      <c r="I16">
        <v>8</v>
      </c>
      <c r="J16">
        <v>8</v>
      </c>
      <c r="K16">
        <v>7</v>
      </c>
      <c r="L16">
        <v>7</v>
      </c>
      <c r="M16">
        <v>7</v>
      </c>
      <c r="N16">
        <v>4</v>
      </c>
      <c r="O16">
        <v>5</v>
      </c>
      <c r="P16">
        <v>3</v>
      </c>
      <c r="Q16">
        <v>7</v>
      </c>
      <c r="R16">
        <v>7</v>
      </c>
      <c r="S16">
        <v>7</v>
      </c>
      <c r="T16">
        <v>7</v>
      </c>
      <c r="U16">
        <v>8</v>
      </c>
      <c r="V16">
        <v>6</v>
      </c>
      <c r="W16">
        <v>7</v>
      </c>
      <c r="X16">
        <v>3</v>
      </c>
      <c r="Y16">
        <v>2</v>
      </c>
      <c r="Z16">
        <f>AVERAGE(Table1[[#This Row],[v2eldonate_nr]:[v2elffelrbin_nr]])</f>
        <v>6.8571428571428568</v>
      </c>
      <c r="AA1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6.4</v>
      </c>
      <c r="AB16">
        <f>AVERAGE(Table1[[#This Row],[v2elsnlfc_nr]:[v2elsnmrfc_nr]])</f>
        <v>2.5</v>
      </c>
      <c r="AC16">
        <f>Table1[[#This Row],[v2el_avg]]-Table1[[#This Row],[v2elsn_avg]]</f>
        <v>4.3571428571428568</v>
      </c>
      <c r="AD16" s="4">
        <f>Table1[[#This Row],[v2el_avg2]]-Table1[[#This Row],[v2elsn_avg]]</f>
        <v>3.9000000000000004</v>
      </c>
      <c r="AE16" s="4">
        <f>MAX(Table1[[#This Row],[v2eldonate_nr]:[v2elsnmrfc_nr]])</f>
        <v>8</v>
      </c>
      <c r="AF16" s="4">
        <f>MAX(Table1[[#This Row],[v2elsnlfc_nr]:[v2elsnmrfc_nr]])</f>
        <v>3</v>
      </c>
    </row>
    <row r="17" spans="1:32" x14ac:dyDescent="0.35">
      <c r="A17" t="s">
        <v>4</v>
      </c>
      <c r="B17">
        <v>1915</v>
      </c>
      <c r="C17">
        <v>3</v>
      </c>
      <c r="D17">
        <v>4</v>
      </c>
      <c r="E17">
        <v>5</v>
      </c>
      <c r="F17">
        <v>4</v>
      </c>
      <c r="T17">
        <v>7</v>
      </c>
      <c r="U17">
        <v>8</v>
      </c>
      <c r="V17">
        <v>6</v>
      </c>
      <c r="W17">
        <v>7</v>
      </c>
      <c r="X17">
        <v>3</v>
      </c>
      <c r="Y17">
        <v>2</v>
      </c>
      <c r="Z17">
        <f>AVERAGE(Table1[[#This Row],[v2eldonate_nr]:[v2elffelrbin_nr]])</f>
        <v>5.5</v>
      </c>
      <c r="AA1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7">
        <f>AVERAGE(Table1[[#This Row],[v2elsnlfc_nr]:[v2elsnmrfc_nr]])</f>
        <v>2.5</v>
      </c>
      <c r="AC17">
        <f>Table1[[#This Row],[v2el_avg]]-Table1[[#This Row],[v2elsn_avg]]</f>
        <v>3</v>
      </c>
      <c r="AD17" s="4">
        <f>Table1[[#This Row],[v2el_avg2]]-Table1[[#This Row],[v2elsn_avg]]</f>
        <v>2.4000000000000004</v>
      </c>
      <c r="AE17" s="4">
        <f>MAX(Table1[[#This Row],[v2eldonate_nr]:[v2elsnmrfc_nr]])</f>
        <v>8</v>
      </c>
      <c r="AF17" s="4">
        <f>MAX(Table1[[#This Row],[v2elsnlfc_nr]:[v2elsnmrfc_nr]])</f>
        <v>3</v>
      </c>
    </row>
    <row r="18" spans="1:32" x14ac:dyDescent="0.35">
      <c r="A18" t="s">
        <v>4</v>
      </c>
      <c r="B18">
        <v>1916</v>
      </c>
      <c r="C18">
        <v>3</v>
      </c>
      <c r="D18">
        <v>4</v>
      </c>
      <c r="E18">
        <v>5</v>
      </c>
      <c r="F18">
        <v>4</v>
      </c>
      <c r="T18">
        <v>7</v>
      </c>
      <c r="U18">
        <v>8</v>
      </c>
      <c r="V18">
        <v>6</v>
      </c>
      <c r="W18">
        <v>7</v>
      </c>
      <c r="X18">
        <v>3</v>
      </c>
      <c r="Y18">
        <v>2</v>
      </c>
      <c r="Z18">
        <f>AVERAGE(Table1[[#This Row],[v2eldonate_nr]:[v2elffelrbin_nr]])</f>
        <v>5.5</v>
      </c>
      <c r="AA1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8">
        <f>AVERAGE(Table1[[#This Row],[v2elsnlfc_nr]:[v2elsnmrfc_nr]])</f>
        <v>2.5</v>
      </c>
      <c r="AC18">
        <f>Table1[[#This Row],[v2el_avg]]-Table1[[#This Row],[v2elsn_avg]]</f>
        <v>3</v>
      </c>
      <c r="AD18" s="4">
        <f>Table1[[#This Row],[v2el_avg2]]-Table1[[#This Row],[v2elsn_avg]]</f>
        <v>2.4000000000000004</v>
      </c>
      <c r="AE18" s="4">
        <f>MAX(Table1[[#This Row],[v2eldonate_nr]:[v2elsnmrfc_nr]])</f>
        <v>8</v>
      </c>
      <c r="AF18" s="4">
        <f>MAX(Table1[[#This Row],[v2elsnlfc_nr]:[v2elsnmrfc_nr]])</f>
        <v>3</v>
      </c>
    </row>
    <row r="19" spans="1:32" x14ac:dyDescent="0.35">
      <c r="A19" t="s">
        <v>4</v>
      </c>
      <c r="B19">
        <v>1917</v>
      </c>
      <c r="C19">
        <v>3</v>
      </c>
      <c r="D19">
        <v>4</v>
      </c>
      <c r="E19">
        <v>5</v>
      </c>
      <c r="F19">
        <v>4</v>
      </c>
      <c r="T19">
        <v>7</v>
      </c>
      <c r="U19">
        <v>8</v>
      </c>
      <c r="V19">
        <v>6</v>
      </c>
      <c r="W19">
        <v>7</v>
      </c>
      <c r="X19">
        <v>3</v>
      </c>
      <c r="Y19">
        <v>2</v>
      </c>
      <c r="Z19">
        <f>AVERAGE(Table1[[#This Row],[v2eldonate_nr]:[v2elffelrbin_nr]])</f>
        <v>5.5</v>
      </c>
      <c r="AA1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9">
        <f>AVERAGE(Table1[[#This Row],[v2elsnlfc_nr]:[v2elsnmrfc_nr]])</f>
        <v>2.5</v>
      </c>
      <c r="AC19">
        <f>Table1[[#This Row],[v2el_avg]]-Table1[[#This Row],[v2elsn_avg]]</f>
        <v>3</v>
      </c>
      <c r="AD19" s="4">
        <f>Table1[[#This Row],[v2el_avg2]]-Table1[[#This Row],[v2elsn_avg]]</f>
        <v>2.4000000000000004</v>
      </c>
      <c r="AE19" s="4">
        <f>MAX(Table1[[#This Row],[v2eldonate_nr]:[v2elsnmrfc_nr]])</f>
        <v>8</v>
      </c>
      <c r="AF19" s="4">
        <f>MAX(Table1[[#This Row],[v2elsnlfc_nr]:[v2elsnmrfc_nr]])</f>
        <v>3</v>
      </c>
    </row>
    <row r="20" spans="1:32" x14ac:dyDescent="0.35">
      <c r="A20" t="s">
        <v>4</v>
      </c>
      <c r="B20">
        <v>1918</v>
      </c>
      <c r="C20">
        <v>8</v>
      </c>
      <c r="D20">
        <v>8</v>
      </c>
      <c r="E20">
        <v>8</v>
      </c>
      <c r="F20">
        <v>7</v>
      </c>
      <c r="G20">
        <v>6</v>
      </c>
      <c r="H20">
        <v>6</v>
      </c>
      <c r="I20">
        <v>8</v>
      </c>
      <c r="J20">
        <v>8</v>
      </c>
      <c r="K20">
        <v>7</v>
      </c>
      <c r="L20">
        <v>7</v>
      </c>
      <c r="M20">
        <v>7</v>
      </c>
      <c r="N20">
        <v>4</v>
      </c>
      <c r="O20">
        <v>5</v>
      </c>
      <c r="P20">
        <v>3</v>
      </c>
      <c r="Q20">
        <v>7</v>
      </c>
      <c r="R20">
        <v>7</v>
      </c>
      <c r="S20">
        <v>7</v>
      </c>
      <c r="T20">
        <v>7</v>
      </c>
      <c r="U20">
        <v>8</v>
      </c>
      <c r="V20">
        <v>6</v>
      </c>
      <c r="W20">
        <v>7</v>
      </c>
      <c r="X20">
        <v>3</v>
      </c>
      <c r="Y20">
        <v>2</v>
      </c>
      <c r="Z20">
        <f>AVERAGE(Table1[[#This Row],[v2eldonate_nr]:[v2elffelrbin_nr]])</f>
        <v>6.7142857142857144</v>
      </c>
      <c r="AA2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6.4</v>
      </c>
      <c r="AB20">
        <f>AVERAGE(Table1[[#This Row],[v2elsnlfc_nr]:[v2elsnmrfc_nr]])</f>
        <v>2.5</v>
      </c>
      <c r="AC20">
        <f>Table1[[#This Row],[v2el_avg]]-Table1[[#This Row],[v2elsn_avg]]</f>
        <v>4.2142857142857144</v>
      </c>
      <c r="AD20" s="4">
        <f>Table1[[#This Row],[v2el_avg2]]-Table1[[#This Row],[v2elsn_avg]]</f>
        <v>3.9000000000000004</v>
      </c>
      <c r="AE20" s="4">
        <f>MAX(Table1[[#This Row],[v2eldonate_nr]:[v2elsnmrfc_nr]])</f>
        <v>8</v>
      </c>
      <c r="AF20" s="4">
        <f>MAX(Table1[[#This Row],[v2elsnlfc_nr]:[v2elsnmrfc_nr]])</f>
        <v>3</v>
      </c>
    </row>
    <row r="21" spans="1:32" x14ac:dyDescent="0.35">
      <c r="A21" t="s">
        <v>4</v>
      </c>
      <c r="B21">
        <v>1919</v>
      </c>
      <c r="C21">
        <v>3</v>
      </c>
      <c r="D21">
        <v>4</v>
      </c>
      <c r="E21">
        <v>5</v>
      </c>
      <c r="F21">
        <v>4</v>
      </c>
      <c r="T21">
        <v>7</v>
      </c>
      <c r="U21">
        <v>8</v>
      </c>
      <c r="V21">
        <v>6</v>
      </c>
      <c r="W21">
        <v>7</v>
      </c>
      <c r="X21">
        <v>3</v>
      </c>
      <c r="Y21">
        <v>2</v>
      </c>
      <c r="Z21">
        <f>AVERAGE(Table1[[#This Row],[v2eldonate_nr]:[v2elffelrbin_nr]])</f>
        <v>5.5</v>
      </c>
      <c r="AA2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21">
        <f>AVERAGE(Table1[[#This Row],[v2elsnlfc_nr]:[v2elsnmrfc_nr]])</f>
        <v>2.5</v>
      </c>
      <c r="AC21">
        <f>Table1[[#This Row],[v2el_avg]]-Table1[[#This Row],[v2elsn_avg]]</f>
        <v>3</v>
      </c>
      <c r="AD21" s="4">
        <f>Table1[[#This Row],[v2el_avg2]]-Table1[[#This Row],[v2elsn_avg]]</f>
        <v>2.4000000000000004</v>
      </c>
      <c r="AE21" s="4">
        <f>MAX(Table1[[#This Row],[v2eldonate_nr]:[v2elsnmrfc_nr]])</f>
        <v>8</v>
      </c>
      <c r="AF21" s="4">
        <f>MAX(Table1[[#This Row],[v2elsnlfc_nr]:[v2elsnmrfc_nr]])</f>
        <v>3</v>
      </c>
    </row>
    <row r="22" spans="1:32" x14ac:dyDescent="0.35">
      <c r="A22" t="s">
        <v>4</v>
      </c>
      <c r="B22">
        <v>1920</v>
      </c>
      <c r="C22">
        <v>3</v>
      </c>
      <c r="D22">
        <v>4</v>
      </c>
      <c r="E22">
        <v>5</v>
      </c>
      <c r="F22">
        <v>4</v>
      </c>
      <c r="T22">
        <v>7</v>
      </c>
      <c r="U22">
        <v>8</v>
      </c>
      <c r="V22">
        <v>6</v>
      </c>
      <c r="W22">
        <v>7</v>
      </c>
      <c r="X22">
        <v>3</v>
      </c>
      <c r="Y22">
        <v>2</v>
      </c>
      <c r="Z22">
        <f>AVERAGE(Table1[[#This Row],[v2eldonate_nr]:[v2elffelrbin_nr]])</f>
        <v>5.5</v>
      </c>
      <c r="AA2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22">
        <f>AVERAGE(Table1[[#This Row],[v2elsnlfc_nr]:[v2elsnmrfc_nr]])</f>
        <v>2.5</v>
      </c>
      <c r="AC22">
        <f>Table1[[#This Row],[v2el_avg]]-Table1[[#This Row],[v2elsn_avg]]</f>
        <v>3</v>
      </c>
      <c r="AD22" s="4">
        <f>Table1[[#This Row],[v2el_avg2]]-Table1[[#This Row],[v2elsn_avg]]</f>
        <v>2.4000000000000004</v>
      </c>
      <c r="AE22" s="4">
        <f>MAX(Table1[[#This Row],[v2eldonate_nr]:[v2elsnmrfc_nr]])</f>
        <v>8</v>
      </c>
      <c r="AF22" s="4">
        <f>MAX(Table1[[#This Row],[v2elsnlfc_nr]:[v2elsnmrfc_nr]])</f>
        <v>3</v>
      </c>
    </row>
    <row r="23" spans="1:32" x14ac:dyDescent="0.35">
      <c r="A23" t="s">
        <v>4</v>
      </c>
      <c r="B23">
        <v>1921</v>
      </c>
      <c r="C23">
        <v>2</v>
      </c>
      <c r="D23">
        <v>3</v>
      </c>
      <c r="E23">
        <v>4</v>
      </c>
      <c r="F23">
        <v>3</v>
      </c>
      <c r="T23">
        <v>6</v>
      </c>
      <c r="U23">
        <v>7</v>
      </c>
      <c r="V23">
        <v>5</v>
      </c>
      <c r="W23">
        <v>6</v>
      </c>
      <c r="X23">
        <v>3</v>
      </c>
      <c r="Y23">
        <v>2</v>
      </c>
      <c r="Z23">
        <f>AVERAGE(Table1[[#This Row],[v2eldonate_nr]:[v2elffelrbin_nr]])</f>
        <v>4.5</v>
      </c>
      <c r="AA2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23">
        <f>AVERAGE(Table1[[#This Row],[v2elsnlfc_nr]:[v2elsnmrfc_nr]])</f>
        <v>2.5</v>
      </c>
      <c r="AC23">
        <f>Table1[[#This Row],[v2el_avg]]-Table1[[#This Row],[v2elsn_avg]]</f>
        <v>2</v>
      </c>
      <c r="AD23" s="4">
        <f>Table1[[#This Row],[v2el_avg2]]-Table1[[#This Row],[v2elsn_avg]]</f>
        <v>1.5999999999999996</v>
      </c>
      <c r="AE23" s="4">
        <f>MAX(Table1[[#This Row],[v2eldonate_nr]:[v2elsnmrfc_nr]])</f>
        <v>7</v>
      </c>
      <c r="AF23" s="4">
        <f>MAX(Table1[[#This Row],[v2elsnlfc_nr]:[v2elsnmrfc_nr]])</f>
        <v>3</v>
      </c>
    </row>
    <row r="24" spans="1:32" x14ac:dyDescent="0.35">
      <c r="A24" t="s">
        <v>4</v>
      </c>
      <c r="B24">
        <v>1922</v>
      </c>
      <c r="C24">
        <v>7</v>
      </c>
      <c r="D24">
        <v>7</v>
      </c>
      <c r="E24">
        <v>7</v>
      </c>
      <c r="F24">
        <v>6</v>
      </c>
      <c r="G24">
        <v>6</v>
      </c>
      <c r="H24">
        <v>5</v>
      </c>
      <c r="I24">
        <v>7</v>
      </c>
      <c r="J24">
        <v>7</v>
      </c>
      <c r="K24">
        <v>6</v>
      </c>
      <c r="L24">
        <v>5</v>
      </c>
      <c r="M24">
        <v>6</v>
      </c>
      <c r="N24">
        <v>4</v>
      </c>
      <c r="O24">
        <v>5</v>
      </c>
      <c r="P24">
        <v>3</v>
      </c>
      <c r="Q24">
        <v>6</v>
      </c>
      <c r="R24">
        <v>6</v>
      </c>
      <c r="S24">
        <v>6</v>
      </c>
      <c r="T24">
        <v>6</v>
      </c>
      <c r="U24">
        <v>7</v>
      </c>
      <c r="V24">
        <v>5</v>
      </c>
      <c r="W24">
        <v>6</v>
      </c>
      <c r="X24">
        <v>3</v>
      </c>
      <c r="Y24">
        <v>2</v>
      </c>
      <c r="Z24">
        <f>AVERAGE(Table1[[#This Row],[v2eldonate_nr]:[v2elffelrbin_nr]])</f>
        <v>5.8571428571428568</v>
      </c>
      <c r="AA2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5.6</v>
      </c>
      <c r="AB24">
        <f>AVERAGE(Table1[[#This Row],[v2elsnlfc_nr]:[v2elsnmrfc_nr]])</f>
        <v>2.5</v>
      </c>
      <c r="AC24">
        <f>Table1[[#This Row],[v2el_avg]]-Table1[[#This Row],[v2elsn_avg]]</f>
        <v>3.3571428571428568</v>
      </c>
      <c r="AD24" s="4">
        <f>Table1[[#This Row],[v2el_avg2]]-Table1[[#This Row],[v2elsn_avg]]</f>
        <v>3.0999999999999996</v>
      </c>
      <c r="AE24" s="4">
        <f>MAX(Table1[[#This Row],[v2eldonate_nr]:[v2elsnmrfc_nr]])</f>
        <v>7</v>
      </c>
      <c r="AF24" s="4">
        <f>MAX(Table1[[#This Row],[v2elsnlfc_nr]:[v2elsnmrfc_nr]])</f>
        <v>3</v>
      </c>
    </row>
    <row r="25" spans="1:32" x14ac:dyDescent="0.35">
      <c r="A25" t="s">
        <v>4</v>
      </c>
      <c r="B25">
        <v>1923</v>
      </c>
      <c r="C25">
        <v>2</v>
      </c>
      <c r="D25">
        <v>3</v>
      </c>
      <c r="E25">
        <v>4</v>
      </c>
      <c r="F25">
        <v>3</v>
      </c>
      <c r="T25">
        <v>6</v>
      </c>
      <c r="U25">
        <v>7</v>
      </c>
      <c r="V25">
        <v>5</v>
      </c>
      <c r="W25">
        <v>6</v>
      </c>
      <c r="X25">
        <v>3</v>
      </c>
      <c r="Y25">
        <v>2</v>
      </c>
      <c r="Z25">
        <f>AVERAGE(Table1[[#This Row],[v2eldonate_nr]:[v2elffelrbin_nr]])</f>
        <v>4.5</v>
      </c>
      <c r="AA2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25">
        <f>AVERAGE(Table1[[#This Row],[v2elsnlfc_nr]:[v2elsnmrfc_nr]])</f>
        <v>2.5</v>
      </c>
      <c r="AC25">
        <f>Table1[[#This Row],[v2el_avg]]-Table1[[#This Row],[v2elsn_avg]]</f>
        <v>2</v>
      </c>
      <c r="AD25" s="4">
        <f>Table1[[#This Row],[v2el_avg2]]-Table1[[#This Row],[v2elsn_avg]]</f>
        <v>1.5999999999999996</v>
      </c>
      <c r="AE25" s="4">
        <f>MAX(Table1[[#This Row],[v2eldonate_nr]:[v2elsnmrfc_nr]])</f>
        <v>7</v>
      </c>
      <c r="AF25" s="4">
        <f>MAX(Table1[[#This Row],[v2elsnlfc_nr]:[v2elsnmrfc_nr]])</f>
        <v>3</v>
      </c>
    </row>
    <row r="26" spans="1:32" x14ac:dyDescent="0.35">
      <c r="A26" t="s">
        <v>4</v>
      </c>
      <c r="B26">
        <v>1924</v>
      </c>
      <c r="C26">
        <v>2</v>
      </c>
      <c r="D26">
        <v>3</v>
      </c>
      <c r="E26">
        <v>4</v>
      </c>
      <c r="F26">
        <v>3</v>
      </c>
      <c r="T26">
        <v>6</v>
      </c>
      <c r="U26">
        <v>7</v>
      </c>
      <c r="V26">
        <v>5</v>
      </c>
      <c r="W26">
        <v>6</v>
      </c>
      <c r="X26">
        <v>3</v>
      </c>
      <c r="Y26">
        <v>2</v>
      </c>
      <c r="Z26">
        <f>AVERAGE(Table1[[#This Row],[v2eldonate_nr]:[v2elffelrbin_nr]])</f>
        <v>4.5</v>
      </c>
      <c r="AA2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26">
        <f>AVERAGE(Table1[[#This Row],[v2elsnlfc_nr]:[v2elsnmrfc_nr]])</f>
        <v>2.5</v>
      </c>
      <c r="AC26">
        <f>Table1[[#This Row],[v2el_avg]]-Table1[[#This Row],[v2elsn_avg]]</f>
        <v>2</v>
      </c>
      <c r="AD26" s="4">
        <f>Table1[[#This Row],[v2el_avg2]]-Table1[[#This Row],[v2elsn_avg]]</f>
        <v>1.5999999999999996</v>
      </c>
      <c r="AE26" s="4">
        <f>MAX(Table1[[#This Row],[v2eldonate_nr]:[v2elsnmrfc_nr]])</f>
        <v>7</v>
      </c>
      <c r="AF26" s="4">
        <f>MAX(Table1[[#This Row],[v2elsnlfc_nr]:[v2elsnmrfc_nr]])</f>
        <v>3</v>
      </c>
    </row>
    <row r="27" spans="1:32" x14ac:dyDescent="0.35">
      <c r="A27" t="s">
        <v>4</v>
      </c>
      <c r="B27">
        <v>1925</v>
      </c>
      <c r="C27">
        <v>2</v>
      </c>
      <c r="D27">
        <v>3</v>
      </c>
      <c r="E27">
        <v>4</v>
      </c>
      <c r="F27">
        <v>3</v>
      </c>
      <c r="T27">
        <v>6</v>
      </c>
      <c r="U27">
        <v>7</v>
      </c>
      <c r="V27">
        <v>5</v>
      </c>
      <c r="W27">
        <v>6</v>
      </c>
      <c r="X27">
        <v>3</v>
      </c>
      <c r="Y27">
        <v>2</v>
      </c>
      <c r="Z27">
        <f>AVERAGE(Table1[[#This Row],[v2eldonate_nr]:[v2elffelrbin_nr]])</f>
        <v>4.5</v>
      </c>
      <c r="AA2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27">
        <f>AVERAGE(Table1[[#This Row],[v2elsnlfc_nr]:[v2elsnmrfc_nr]])</f>
        <v>2.5</v>
      </c>
      <c r="AC27">
        <f>Table1[[#This Row],[v2el_avg]]-Table1[[#This Row],[v2elsn_avg]]</f>
        <v>2</v>
      </c>
      <c r="AD27" s="4">
        <f>Table1[[#This Row],[v2el_avg2]]-Table1[[#This Row],[v2elsn_avg]]</f>
        <v>1.5999999999999996</v>
      </c>
      <c r="AE27" s="4">
        <f>MAX(Table1[[#This Row],[v2eldonate_nr]:[v2elsnmrfc_nr]])</f>
        <v>7</v>
      </c>
      <c r="AF27" s="4">
        <f>MAX(Table1[[#This Row],[v2elsnlfc_nr]:[v2elsnmrfc_nr]])</f>
        <v>3</v>
      </c>
    </row>
    <row r="28" spans="1:32" x14ac:dyDescent="0.35">
      <c r="A28" t="s">
        <v>4</v>
      </c>
      <c r="B28">
        <v>1926</v>
      </c>
      <c r="C28">
        <v>7</v>
      </c>
      <c r="D28">
        <v>7</v>
      </c>
      <c r="E28">
        <v>7</v>
      </c>
      <c r="F28">
        <v>6</v>
      </c>
      <c r="G28">
        <v>5</v>
      </c>
      <c r="H28">
        <v>5</v>
      </c>
      <c r="I28">
        <v>7</v>
      </c>
      <c r="J28">
        <v>7</v>
      </c>
      <c r="K28">
        <v>6</v>
      </c>
      <c r="L28">
        <v>6</v>
      </c>
      <c r="M28">
        <v>6</v>
      </c>
      <c r="N28">
        <v>4</v>
      </c>
      <c r="O28">
        <v>5</v>
      </c>
      <c r="P28">
        <v>3</v>
      </c>
      <c r="Q28">
        <v>6</v>
      </c>
      <c r="R28">
        <v>6</v>
      </c>
      <c r="S28">
        <v>5</v>
      </c>
      <c r="T28">
        <v>6</v>
      </c>
      <c r="U28">
        <v>7</v>
      </c>
      <c r="V28">
        <v>5</v>
      </c>
      <c r="W28">
        <v>6</v>
      </c>
      <c r="X28">
        <v>3</v>
      </c>
      <c r="Y28">
        <v>2</v>
      </c>
      <c r="Z28">
        <f>AVERAGE(Table1[[#This Row],[v2eldonate_nr]:[v2elffelrbin_nr]])</f>
        <v>5.8095238095238093</v>
      </c>
      <c r="AA2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5.6</v>
      </c>
      <c r="AB28">
        <f>AVERAGE(Table1[[#This Row],[v2elsnlfc_nr]:[v2elsnmrfc_nr]])</f>
        <v>2.5</v>
      </c>
      <c r="AC28">
        <f>Table1[[#This Row],[v2el_avg]]-Table1[[#This Row],[v2elsn_avg]]</f>
        <v>3.3095238095238093</v>
      </c>
      <c r="AD28" s="4">
        <f>Table1[[#This Row],[v2el_avg2]]-Table1[[#This Row],[v2elsn_avg]]</f>
        <v>3.0999999999999996</v>
      </c>
      <c r="AE28" s="4">
        <f>MAX(Table1[[#This Row],[v2eldonate_nr]:[v2elsnmrfc_nr]])</f>
        <v>7</v>
      </c>
      <c r="AF28" s="4">
        <f>MAX(Table1[[#This Row],[v2elsnlfc_nr]:[v2elsnmrfc_nr]])</f>
        <v>3</v>
      </c>
    </row>
    <row r="29" spans="1:32" x14ac:dyDescent="0.35">
      <c r="A29" t="s">
        <v>4</v>
      </c>
      <c r="B29">
        <v>1927</v>
      </c>
      <c r="C29">
        <v>2</v>
      </c>
      <c r="D29">
        <v>3</v>
      </c>
      <c r="E29">
        <v>4</v>
      </c>
      <c r="F29">
        <v>3</v>
      </c>
      <c r="T29">
        <v>6</v>
      </c>
      <c r="U29">
        <v>7</v>
      </c>
      <c r="V29">
        <v>5</v>
      </c>
      <c r="W29">
        <v>6</v>
      </c>
      <c r="X29">
        <v>3</v>
      </c>
      <c r="Y29">
        <v>2</v>
      </c>
      <c r="Z29">
        <f>AVERAGE(Table1[[#This Row],[v2eldonate_nr]:[v2elffelrbin_nr]])</f>
        <v>4.5</v>
      </c>
      <c r="AA2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29">
        <f>AVERAGE(Table1[[#This Row],[v2elsnlfc_nr]:[v2elsnmrfc_nr]])</f>
        <v>2.5</v>
      </c>
      <c r="AC29">
        <f>Table1[[#This Row],[v2el_avg]]-Table1[[#This Row],[v2elsn_avg]]</f>
        <v>2</v>
      </c>
      <c r="AD29" s="4">
        <f>Table1[[#This Row],[v2el_avg2]]-Table1[[#This Row],[v2elsn_avg]]</f>
        <v>1.5999999999999996</v>
      </c>
      <c r="AE29" s="4">
        <f>MAX(Table1[[#This Row],[v2eldonate_nr]:[v2elsnmrfc_nr]])</f>
        <v>7</v>
      </c>
      <c r="AF29" s="4">
        <f>MAX(Table1[[#This Row],[v2elsnlfc_nr]:[v2elsnmrfc_nr]])</f>
        <v>3</v>
      </c>
    </row>
    <row r="30" spans="1:32" x14ac:dyDescent="0.35">
      <c r="A30" t="s">
        <v>4</v>
      </c>
      <c r="B30">
        <v>1928</v>
      </c>
      <c r="C30">
        <v>2</v>
      </c>
      <c r="D30">
        <v>3</v>
      </c>
      <c r="E30">
        <v>4</v>
      </c>
      <c r="F30">
        <v>3</v>
      </c>
      <c r="T30">
        <v>6</v>
      </c>
      <c r="U30">
        <v>7</v>
      </c>
      <c r="V30">
        <v>5</v>
      </c>
      <c r="W30">
        <v>6</v>
      </c>
      <c r="X30">
        <v>3</v>
      </c>
      <c r="Y30">
        <v>2</v>
      </c>
      <c r="Z30">
        <f>AVERAGE(Table1[[#This Row],[v2eldonate_nr]:[v2elffelrbin_nr]])</f>
        <v>4.5</v>
      </c>
      <c r="AA3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30">
        <f>AVERAGE(Table1[[#This Row],[v2elsnlfc_nr]:[v2elsnmrfc_nr]])</f>
        <v>2.5</v>
      </c>
      <c r="AC30">
        <f>Table1[[#This Row],[v2el_avg]]-Table1[[#This Row],[v2elsn_avg]]</f>
        <v>2</v>
      </c>
      <c r="AD30" s="4">
        <f>Table1[[#This Row],[v2el_avg2]]-Table1[[#This Row],[v2elsn_avg]]</f>
        <v>1.5999999999999996</v>
      </c>
      <c r="AE30" s="4">
        <f>MAX(Table1[[#This Row],[v2eldonate_nr]:[v2elsnmrfc_nr]])</f>
        <v>7</v>
      </c>
      <c r="AF30" s="4">
        <f>MAX(Table1[[#This Row],[v2elsnlfc_nr]:[v2elsnmrfc_nr]])</f>
        <v>3</v>
      </c>
    </row>
    <row r="31" spans="1:32" x14ac:dyDescent="0.35">
      <c r="A31" t="s">
        <v>4</v>
      </c>
      <c r="B31">
        <v>1929</v>
      </c>
      <c r="C31">
        <v>2</v>
      </c>
      <c r="D31">
        <v>3</v>
      </c>
      <c r="E31">
        <v>4</v>
      </c>
      <c r="F31">
        <v>3</v>
      </c>
      <c r="T31">
        <v>6</v>
      </c>
      <c r="U31">
        <v>7</v>
      </c>
      <c r="V31">
        <v>5</v>
      </c>
      <c r="W31">
        <v>6</v>
      </c>
      <c r="X31">
        <v>3</v>
      </c>
      <c r="Y31">
        <v>2</v>
      </c>
      <c r="Z31">
        <f>AVERAGE(Table1[[#This Row],[v2eldonate_nr]:[v2elffelrbin_nr]])</f>
        <v>4.5</v>
      </c>
      <c r="AA3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4.0999999999999996</v>
      </c>
      <c r="AB31">
        <f>AVERAGE(Table1[[#This Row],[v2elsnlfc_nr]:[v2elsnmrfc_nr]])</f>
        <v>2.5</v>
      </c>
      <c r="AC31">
        <f>Table1[[#This Row],[v2el_avg]]-Table1[[#This Row],[v2elsn_avg]]</f>
        <v>2</v>
      </c>
      <c r="AD31" s="4">
        <f>Table1[[#This Row],[v2el_avg2]]-Table1[[#This Row],[v2elsn_avg]]</f>
        <v>1.5999999999999996</v>
      </c>
      <c r="AE31" s="4">
        <f>MAX(Table1[[#This Row],[v2eldonate_nr]:[v2elsnmrfc_nr]])</f>
        <v>7</v>
      </c>
      <c r="AF31" s="4">
        <f>MAX(Table1[[#This Row],[v2elsnlfc_nr]:[v2elsnmrfc_nr]])</f>
        <v>3</v>
      </c>
    </row>
    <row r="32" spans="1:32" x14ac:dyDescent="0.35">
      <c r="A32" t="s">
        <v>4</v>
      </c>
      <c r="B32">
        <v>1930</v>
      </c>
      <c r="C32">
        <v>7</v>
      </c>
      <c r="D32">
        <v>7</v>
      </c>
      <c r="E32">
        <v>7</v>
      </c>
      <c r="F32">
        <v>6</v>
      </c>
      <c r="G32">
        <v>5</v>
      </c>
      <c r="H32">
        <v>4</v>
      </c>
      <c r="I32">
        <v>7</v>
      </c>
      <c r="J32">
        <v>7</v>
      </c>
      <c r="K32">
        <v>6</v>
      </c>
      <c r="L32">
        <v>6</v>
      </c>
      <c r="M32">
        <v>6</v>
      </c>
      <c r="N32">
        <v>5</v>
      </c>
      <c r="O32">
        <v>6</v>
      </c>
      <c r="P32">
        <v>4</v>
      </c>
      <c r="Q32">
        <v>6</v>
      </c>
      <c r="R32">
        <v>6</v>
      </c>
      <c r="S32">
        <v>6</v>
      </c>
      <c r="T32">
        <v>6</v>
      </c>
      <c r="U32">
        <v>7</v>
      </c>
      <c r="V32">
        <v>5</v>
      </c>
      <c r="W32">
        <v>6</v>
      </c>
      <c r="X32">
        <v>3</v>
      </c>
      <c r="Y32">
        <v>3</v>
      </c>
      <c r="Z32">
        <f>AVERAGE(Table1[[#This Row],[v2eldonate_nr]:[v2elffelrbin_nr]])</f>
        <v>5.9523809523809526</v>
      </c>
      <c r="AA3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32">
        <f>AVERAGE(Table1[[#This Row],[v2elsnlfc_nr]:[v2elsnmrfc_nr]])</f>
        <v>3</v>
      </c>
      <c r="AC32">
        <f>Table1[[#This Row],[v2el_avg]]-Table1[[#This Row],[v2elsn_avg]]</f>
        <v>2.9523809523809526</v>
      </c>
      <c r="AD32" s="4">
        <f>Table1[[#This Row],[v2el_avg2]]-Table1[[#This Row],[v2elsn_avg]]</f>
        <v>2.7</v>
      </c>
      <c r="AE32" s="4">
        <f>MAX(Table1[[#This Row],[v2eldonate_nr]:[v2elsnmrfc_nr]])</f>
        <v>7</v>
      </c>
      <c r="AF32" s="4">
        <f>MAX(Table1[[#This Row],[v2elsnlfc_nr]:[v2elsnmrfc_nr]])</f>
        <v>3</v>
      </c>
    </row>
    <row r="33" spans="1:32" x14ac:dyDescent="0.35">
      <c r="A33" t="s">
        <v>4</v>
      </c>
      <c r="B33">
        <v>1931</v>
      </c>
      <c r="C33">
        <v>7</v>
      </c>
      <c r="D33">
        <v>7</v>
      </c>
      <c r="E33">
        <v>7</v>
      </c>
      <c r="F33">
        <v>6</v>
      </c>
      <c r="G33">
        <v>5</v>
      </c>
      <c r="H33">
        <v>3</v>
      </c>
      <c r="I33">
        <v>7</v>
      </c>
      <c r="J33">
        <v>7</v>
      </c>
      <c r="K33">
        <v>6</v>
      </c>
      <c r="L33">
        <v>6</v>
      </c>
      <c r="M33">
        <v>6</v>
      </c>
      <c r="N33">
        <v>5</v>
      </c>
      <c r="O33">
        <v>6</v>
      </c>
      <c r="P33">
        <v>4</v>
      </c>
      <c r="Q33">
        <v>6</v>
      </c>
      <c r="R33">
        <v>6</v>
      </c>
      <c r="S33">
        <v>6</v>
      </c>
      <c r="T33">
        <v>6</v>
      </c>
      <c r="U33">
        <v>7</v>
      </c>
      <c r="V33">
        <v>5</v>
      </c>
      <c r="W33">
        <v>6</v>
      </c>
      <c r="X33">
        <v>3</v>
      </c>
      <c r="Y33">
        <v>3</v>
      </c>
      <c r="Z33">
        <f>AVERAGE(Table1[[#This Row],[v2eldonate_nr]:[v2elffelrbin_nr]])</f>
        <v>5.9047619047619051</v>
      </c>
      <c r="AA3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33">
        <f>AVERAGE(Table1[[#This Row],[v2elsnlfc_nr]:[v2elsnmrfc_nr]])</f>
        <v>3</v>
      </c>
      <c r="AC33">
        <f>Table1[[#This Row],[v2el_avg]]-Table1[[#This Row],[v2elsn_avg]]</f>
        <v>2.9047619047619051</v>
      </c>
      <c r="AD33" s="4">
        <f>Table1[[#This Row],[v2el_avg2]]-Table1[[#This Row],[v2elsn_avg]]</f>
        <v>2.7</v>
      </c>
      <c r="AE33" s="4">
        <f>MAX(Table1[[#This Row],[v2eldonate_nr]:[v2elsnmrfc_nr]])</f>
        <v>7</v>
      </c>
      <c r="AF33" s="4">
        <f>MAX(Table1[[#This Row],[v2elsnlfc_nr]:[v2elsnmrfc_nr]])</f>
        <v>3</v>
      </c>
    </row>
    <row r="34" spans="1:32" x14ac:dyDescent="0.35">
      <c r="A34" t="s">
        <v>4</v>
      </c>
      <c r="B34">
        <v>1932</v>
      </c>
      <c r="C34">
        <v>2</v>
      </c>
      <c r="D34">
        <v>3</v>
      </c>
      <c r="E34">
        <v>4</v>
      </c>
      <c r="F34">
        <v>3</v>
      </c>
      <c r="T34">
        <v>6</v>
      </c>
      <c r="U34">
        <v>7</v>
      </c>
      <c r="V34">
        <v>5</v>
      </c>
      <c r="W34">
        <v>6</v>
      </c>
      <c r="X34">
        <v>3</v>
      </c>
      <c r="Y34">
        <v>3</v>
      </c>
      <c r="Z34">
        <f>AVERAGE(Table1[[#This Row],[v2eldonate_nr]:[v2elffelrbin_nr]])</f>
        <v>4.5</v>
      </c>
      <c r="AA3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34">
        <f>AVERAGE(Table1[[#This Row],[v2elsnlfc_nr]:[v2elsnmrfc_nr]])</f>
        <v>3</v>
      </c>
      <c r="AC34">
        <f>Table1[[#This Row],[v2el_avg]]-Table1[[#This Row],[v2elsn_avg]]</f>
        <v>1.5</v>
      </c>
      <c r="AD34" s="4">
        <f>Table1[[#This Row],[v2el_avg2]]-Table1[[#This Row],[v2elsn_avg]]</f>
        <v>1.2000000000000002</v>
      </c>
      <c r="AE34" s="4">
        <f>MAX(Table1[[#This Row],[v2eldonate_nr]:[v2elsnmrfc_nr]])</f>
        <v>7</v>
      </c>
      <c r="AF34" s="4">
        <f>MAX(Table1[[#This Row],[v2elsnlfc_nr]:[v2elsnmrfc_nr]])</f>
        <v>3</v>
      </c>
    </row>
    <row r="35" spans="1:32" x14ac:dyDescent="0.35">
      <c r="A35" t="s">
        <v>4</v>
      </c>
      <c r="B35">
        <v>1933</v>
      </c>
      <c r="C35">
        <v>7</v>
      </c>
      <c r="D35">
        <v>7</v>
      </c>
      <c r="E35">
        <v>7</v>
      </c>
      <c r="F35">
        <v>6</v>
      </c>
      <c r="G35">
        <v>6</v>
      </c>
      <c r="H35">
        <v>3</v>
      </c>
      <c r="I35">
        <v>7</v>
      </c>
      <c r="J35">
        <v>7</v>
      </c>
      <c r="K35">
        <v>6</v>
      </c>
      <c r="L35">
        <v>6</v>
      </c>
      <c r="M35">
        <v>6</v>
      </c>
      <c r="N35">
        <v>5</v>
      </c>
      <c r="O35">
        <v>6</v>
      </c>
      <c r="P35">
        <v>4</v>
      </c>
      <c r="Q35">
        <v>6</v>
      </c>
      <c r="R35">
        <v>6</v>
      </c>
      <c r="S35">
        <v>5</v>
      </c>
      <c r="T35">
        <v>6</v>
      </c>
      <c r="U35">
        <v>7</v>
      </c>
      <c r="V35">
        <v>5</v>
      </c>
      <c r="W35">
        <v>6</v>
      </c>
      <c r="X35">
        <v>3</v>
      </c>
      <c r="Y35">
        <v>3</v>
      </c>
      <c r="Z35">
        <f>AVERAGE(Table1[[#This Row],[v2eldonate_nr]:[v2elffelrbin_nr]])</f>
        <v>5.9047619047619051</v>
      </c>
      <c r="AA3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35">
        <f>AVERAGE(Table1[[#This Row],[v2elsnlfc_nr]:[v2elsnmrfc_nr]])</f>
        <v>3</v>
      </c>
      <c r="AC35">
        <f>Table1[[#This Row],[v2el_avg]]-Table1[[#This Row],[v2elsn_avg]]</f>
        <v>2.9047619047619051</v>
      </c>
      <c r="AD35" s="4">
        <f>Table1[[#This Row],[v2el_avg2]]-Table1[[#This Row],[v2elsn_avg]]</f>
        <v>2.7</v>
      </c>
      <c r="AE35" s="4">
        <f>MAX(Table1[[#This Row],[v2eldonate_nr]:[v2elsnmrfc_nr]])</f>
        <v>7</v>
      </c>
      <c r="AF35" s="4">
        <f>MAX(Table1[[#This Row],[v2elsnlfc_nr]:[v2elsnmrfc_nr]])</f>
        <v>3</v>
      </c>
    </row>
    <row r="36" spans="1:32" x14ac:dyDescent="0.35">
      <c r="A36" t="s">
        <v>4</v>
      </c>
      <c r="B36">
        <v>1934</v>
      </c>
      <c r="C36">
        <v>7</v>
      </c>
      <c r="D36">
        <v>7</v>
      </c>
      <c r="E36">
        <v>7</v>
      </c>
      <c r="F36">
        <v>6</v>
      </c>
      <c r="G36">
        <v>5</v>
      </c>
      <c r="H36">
        <v>5</v>
      </c>
      <c r="I36">
        <v>7</v>
      </c>
      <c r="J36">
        <v>7</v>
      </c>
      <c r="K36">
        <v>6</v>
      </c>
      <c r="L36">
        <v>5</v>
      </c>
      <c r="M36">
        <v>6</v>
      </c>
      <c r="N36">
        <v>5</v>
      </c>
      <c r="O36">
        <v>6</v>
      </c>
      <c r="P36">
        <v>4</v>
      </c>
      <c r="Q36">
        <v>6</v>
      </c>
      <c r="R36">
        <v>6</v>
      </c>
      <c r="S36">
        <v>6</v>
      </c>
      <c r="T36">
        <v>6</v>
      </c>
      <c r="U36">
        <v>7</v>
      </c>
      <c r="V36">
        <v>5</v>
      </c>
      <c r="W36">
        <v>6</v>
      </c>
      <c r="X36">
        <v>3</v>
      </c>
      <c r="Y36">
        <v>3</v>
      </c>
      <c r="Z36">
        <f>AVERAGE(Table1[[#This Row],[v2eldonate_nr]:[v2elffelrbin_nr]])</f>
        <v>5.9523809523809526</v>
      </c>
      <c r="AA3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36">
        <f>AVERAGE(Table1[[#This Row],[v2elsnlfc_nr]:[v2elsnmrfc_nr]])</f>
        <v>3</v>
      </c>
      <c r="AC36">
        <f>Table1[[#This Row],[v2el_avg]]-Table1[[#This Row],[v2elsn_avg]]</f>
        <v>2.9523809523809526</v>
      </c>
      <c r="AD36" s="4">
        <f>Table1[[#This Row],[v2el_avg2]]-Table1[[#This Row],[v2elsn_avg]]</f>
        <v>2.7</v>
      </c>
      <c r="AE36" s="4">
        <f>MAX(Table1[[#This Row],[v2eldonate_nr]:[v2elsnmrfc_nr]])</f>
        <v>7</v>
      </c>
      <c r="AF36" s="4">
        <f>MAX(Table1[[#This Row],[v2elsnlfc_nr]:[v2elsnmrfc_nr]])</f>
        <v>3</v>
      </c>
    </row>
    <row r="37" spans="1:32" x14ac:dyDescent="0.35">
      <c r="A37" t="s">
        <v>4</v>
      </c>
      <c r="B37">
        <v>1935</v>
      </c>
      <c r="C37">
        <v>7</v>
      </c>
      <c r="D37">
        <v>7</v>
      </c>
      <c r="E37">
        <v>7</v>
      </c>
      <c r="F37">
        <v>6</v>
      </c>
      <c r="G37">
        <v>6</v>
      </c>
      <c r="H37">
        <v>3</v>
      </c>
      <c r="I37">
        <v>7</v>
      </c>
      <c r="J37">
        <v>7</v>
      </c>
      <c r="K37">
        <v>6</v>
      </c>
      <c r="L37">
        <v>6</v>
      </c>
      <c r="M37">
        <v>6</v>
      </c>
      <c r="N37">
        <v>5</v>
      </c>
      <c r="O37">
        <v>6</v>
      </c>
      <c r="P37">
        <v>4</v>
      </c>
      <c r="Q37">
        <v>6</v>
      </c>
      <c r="R37">
        <v>6</v>
      </c>
      <c r="S37">
        <v>5</v>
      </c>
      <c r="T37">
        <v>6</v>
      </c>
      <c r="U37">
        <v>7</v>
      </c>
      <c r="V37">
        <v>5</v>
      </c>
      <c r="W37">
        <v>6</v>
      </c>
      <c r="X37">
        <v>3</v>
      </c>
      <c r="Y37">
        <v>3</v>
      </c>
      <c r="Z37">
        <f>AVERAGE(Table1[[#This Row],[v2eldonate_nr]:[v2elffelrbin_nr]])</f>
        <v>5.9047619047619051</v>
      </c>
      <c r="AA3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37">
        <f>AVERAGE(Table1[[#This Row],[v2elsnlfc_nr]:[v2elsnmrfc_nr]])</f>
        <v>3</v>
      </c>
      <c r="AC37">
        <f>Table1[[#This Row],[v2el_avg]]-Table1[[#This Row],[v2elsn_avg]]</f>
        <v>2.9047619047619051</v>
      </c>
      <c r="AD37" s="4">
        <f>Table1[[#This Row],[v2el_avg2]]-Table1[[#This Row],[v2elsn_avg]]</f>
        <v>2.7</v>
      </c>
      <c r="AE37" s="4">
        <f>MAX(Table1[[#This Row],[v2eldonate_nr]:[v2elsnmrfc_nr]])</f>
        <v>7</v>
      </c>
      <c r="AF37" s="4">
        <f>MAX(Table1[[#This Row],[v2elsnlfc_nr]:[v2elsnmrfc_nr]])</f>
        <v>3</v>
      </c>
    </row>
    <row r="38" spans="1:32" x14ac:dyDescent="0.35">
      <c r="A38" t="s">
        <v>4</v>
      </c>
      <c r="B38">
        <v>1936</v>
      </c>
      <c r="C38">
        <v>2</v>
      </c>
      <c r="D38">
        <v>3</v>
      </c>
      <c r="E38">
        <v>4</v>
      </c>
      <c r="F38">
        <v>3</v>
      </c>
      <c r="T38">
        <v>6</v>
      </c>
      <c r="U38">
        <v>7</v>
      </c>
      <c r="V38">
        <v>5</v>
      </c>
      <c r="W38">
        <v>6</v>
      </c>
      <c r="X38">
        <v>3</v>
      </c>
      <c r="Y38">
        <v>3</v>
      </c>
      <c r="Z38">
        <f>AVERAGE(Table1[[#This Row],[v2eldonate_nr]:[v2elffelrbin_nr]])</f>
        <v>4.5</v>
      </c>
      <c r="AA3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38">
        <f>AVERAGE(Table1[[#This Row],[v2elsnlfc_nr]:[v2elsnmrfc_nr]])</f>
        <v>3</v>
      </c>
      <c r="AC38">
        <f>Table1[[#This Row],[v2el_avg]]-Table1[[#This Row],[v2elsn_avg]]</f>
        <v>1.5</v>
      </c>
      <c r="AD38" s="4">
        <f>Table1[[#This Row],[v2el_avg2]]-Table1[[#This Row],[v2elsn_avg]]</f>
        <v>1.2000000000000002</v>
      </c>
      <c r="AE38" s="4">
        <f>MAX(Table1[[#This Row],[v2eldonate_nr]:[v2elsnmrfc_nr]])</f>
        <v>7</v>
      </c>
      <c r="AF38" s="4">
        <f>MAX(Table1[[#This Row],[v2elsnlfc_nr]:[v2elsnmrfc_nr]])</f>
        <v>3</v>
      </c>
    </row>
    <row r="39" spans="1:32" x14ac:dyDescent="0.35">
      <c r="A39" t="s">
        <v>4</v>
      </c>
      <c r="B39">
        <v>1937</v>
      </c>
      <c r="C39">
        <v>7</v>
      </c>
      <c r="D39">
        <v>7</v>
      </c>
      <c r="E39">
        <v>7</v>
      </c>
      <c r="F39">
        <v>6</v>
      </c>
      <c r="G39">
        <v>5</v>
      </c>
      <c r="H39">
        <v>5</v>
      </c>
      <c r="I39">
        <v>7</v>
      </c>
      <c r="J39">
        <v>7</v>
      </c>
      <c r="K39">
        <v>6</v>
      </c>
      <c r="L39">
        <v>6</v>
      </c>
      <c r="M39">
        <v>6</v>
      </c>
      <c r="N39">
        <v>5</v>
      </c>
      <c r="O39">
        <v>6</v>
      </c>
      <c r="P39">
        <v>4</v>
      </c>
      <c r="Q39">
        <v>6</v>
      </c>
      <c r="R39">
        <v>6</v>
      </c>
      <c r="S39">
        <v>6</v>
      </c>
      <c r="T39">
        <v>6</v>
      </c>
      <c r="U39">
        <v>7</v>
      </c>
      <c r="V39">
        <v>5</v>
      </c>
      <c r="W39">
        <v>6</v>
      </c>
      <c r="X39">
        <v>3</v>
      </c>
      <c r="Y39">
        <v>3</v>
      </c>
      <c r="Z39">
        <f>AVERAGE(Table1[[#This Row],[v2eldonate_nr]:[v2elffelrbin_nr]])</f>
        <v>6</v>
      </c>
      <c r="AA3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39">
        <f>AVERAGE(Table1[[#This Row],[v2elsnlfc_nr]:[v2elsnmrfc_nr]])</f>
        <v>3</v>
      </c>
      <c r="AC39">
        <f>Table1[[#This Row],[v2el_avg]]-Table1[[#This Row],[v2elsn_avg]]</f>
        <v>3</v>
      </c>
      <c r="AD39" s="4">
        <f>Table1[[#This Row],[v2el_avg2]]-Table1[[#This Row],[v2elsn_avg]]</f>
        <v>2.7</v>
      </c>
      <c r="AE39" s="4">
        <f>MAX(Table1[[#This Row],[v2eldonate_nr]:[v2elsnmrfc_nr]])</f>
        <v>7</v>
      </c>
      <c r="AF39" s="4">
        <f>MAX(Table1[[#This Row],[v2elsnlfc_nr]:[v2elsnmrfc_nr]])</f>
        <v>3</v>
      </c>
    </row>
    <row r="40" spans="1:32" x14ac:dyDescent="0.35">
      <c r="A40" t="s">
        <v>4</v>
      </c>
      <c r="B40">
        <v>1938</v>
      </c>
      <c r="C40">
        <v>7</v>
      </c>
      <c r="D40">
        <v>7</v>
      </c>
      <c r="E40">
        <v>7</v>
      </c>
      <c r="F40">
        <v>6</v>
      </c>
      <c r="G40">
        <v>5</v>
      </c>
      <c r="H40">
        <v>5</v>
      </c>
      <c r="I40">
        <v>7</v>
      </c>
      <c r="J40">
        <v>7</v>
      </c>
      <c r="K40">
        <v>6</v>
      </c>
      <c r="L40">
        <v>6</v>
      </c>
      <c r="M40">
        <v>6</v>
      </c>
      <c r="N40">
        <v>5</v>
      </c>
      <c r="O40">
        <v>6</v>
      </c>
      <c r="P40">
        <v>4</v>
      </c>
      <c r="Q40">
        <v>6</v>
      </c>
      <c r="R40">
        <v>6</v>
      </c>
      <c r="S40">
        <v>5</v>
      </c>
      <c r="T40">
        <v>6</v>
      </c>
      <c r="U40">
        <v>7</v>
      </c>
      <c r="V40">
        <v>5</v>
      </c>
      <c r="W40">
        <v>6</v>
      </c>
      <c r="X40">
        <v>3</v>
      </c>
      <c r="Y40">
        <v>3</v>
      </c>
      <c r="Z40">
        <f>AVERAGE(Table1[[#This Row],[v2eldonate_nr]:[v2elffelrbin_nr]])</f>
        <v>5.9523809523809526</v>
      </c>
      <c r="AA4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40">
        <f>AVERAGE(Table1[[#This Row],[v2elsnlfc_nr]:[v2elsnmrfc_nr]])</f>
        <v>3</v>
      </c>
      <c r="AC40">
        <f>Table1[[#This Row],[v2el_avg]]-Table1[[#This Row],[v2elsn_avg]]</f>
        <v>2.9523809523809526</v>
      </c>
      <c r="AD40" s="4">
        <f>Table1[[#This Row],[v2el_avg2]]-Table1[[#This Row],[v2elsn_avg]]</f>
        <v>2.7</v>
      </c>
      <c r="AE40" s="4">
        <f>MAX(Table1[[#This Row],[v2eldonate_nr]:[v2elsnmrfc_nr]])</f>
        <v>7</v>
      </c>
      <c r="AF40" s="4">
        <f>MAX(Table1[[#This Row],[v2elsnlfc_nr]:[v2elsnmrfc_nr]])</f>
        <v>3</v>
      </c>
    </row>
    <row r="41" spans="1:32" x14ac:dyDescent="0.35">
      <c r="A41" t="s">
        <v>4</v>
      </c>
      <c r="B41">
        <v>1939</v>
      </c>
      <c r="C41">
        <v>7</v>
      </c>
      <c r="D41">
        <v>7</v>
      </c>
      <c r="E41">
        <v>7</v>
      </c>
      <c r="F41">
        <v>6</v>
      </c>
      <c r="G41">
        <v>5</v>
      </c>
      <c r="H41">
        <v>5</v>
      </c>
      <c r="I41">
        <v>7</v>
      </c>
      <c r="J41">
        <v>7</v>
      </c>
      <c r="K41">
        <v>6</v>
      </c>
      <c r="L41">
        <v>6</v>
      </c>
      <c r="M41">
        <v>6</v>
      </c>
      <c r="N41">
        <v>5</v>
      </c>
      <c r="O41">
        <v>6</v>
      </c>
      <c r="P41">
        <v>4</v>
      </c>
      <c r="Q41">
        <v>6</v>
      </c>
      <c r="R41">
        <v>6</v>
      </c>
      <c r="S41">
        <v>6</v>
      </c>
      <c r="T41">
        <v>6</v>
      </c>
      <c r="U41">
        <v>7</v>
      </c>
      <c r="V41">
        <v>5</v>
      </c>
      <c r="W41">
        <v>6</v>
      </c>
      <c r="X41">
        <v>3</v>
      </c>
      <c r="Y41">
        <v>3</v>
      </c>
      <c r="Z41">
        <f>AVERAGE(Table1[[#This Row],[v2eldonate_nr]:[v2elffelrbin_nr]])</f>
        <v>6</v>
      </c>
      <c r="AA4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41">
        <f>AVERAGE(Table1[[#This Row],[v2elsnlfc_nr]:[v2elsnmrfc_nr]])</f>
        <v>3</v>
      </c>
      <c r="AC41">
        <f>Table1[[#This Row],[v2el_avg]]-Table1[[#This Row],[v2elsn_avg]]</f>
        <v>3</v>
      </c>
      <c r="AD41" s="4">
        <f>Table1[[#This Row],[v2el_avg2]]-Table1[[#This Row],[v2elsn_avg]]</f>
        <v>2.7</v>
      </c>
      <c r="AE41" s="4">
        <f>MAX(Table1[[#This Row],[v2eldonate_nr]:[v2elsnmrfc_nr]])</f>
        <v>7</v>
      </c>
      <c r="AF41" s="4">
        <f>MAX(Table1[[#This Row],[v2elsnlfc_nr]:[v2elsnmrfc_nr]])</f>
        <v>3</v>
      </c>
    </row>
    <row r="42" spans="1:32" x14ac:dyDescent="0.35">
      <c r="A42" t="s">
        <v>4</v>
      </c>
      <c r="B42">
        <v>1940</v>
      </c>
      <c r="C42">
        <v>2</v>
      </c>
      <c r="D42">
        <v>3</v>
      </c>
      <c r="E42">
        <v>4</v>
      </c>
      <c r="F42">
        <v>3</v>
      </c>
      <c r="T42">
        <v>6</v>
      </c>
      <c r="U42">
        <v>7</v>
      </c>
      <c r="V42">
        <v>5</v>
      </c>
      <c r="W42">
        <v>6</v>
      </c>
      <c r="X42">
        <v>3</v>
      </c>
      <c r="Y42">
        <v>3</v>
      </c>
      <c r="Z42">
        <f>AVERAGE(Table1[[#This Row],[v2eldonate_nr]:[v2elffelrbin_nr]])</f>
        <v>4.5</v>
      </c>
      <c r="AA4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42">
        <f>AVERAGE(Table1[[#This Row],[v2elsnlfc_nr]:[v2elsnmrfc_nr]])</f>
        <v>3</v>
      </c>
      <c r="AC42">
        <f>Table1[[#This Row],[v2el_avg]]-Table1[[#This Row],[v2elsn_avg]]</f>
        <v>1.5</v>
      </c>
      <c r="AD42" s="4">
        <f>Table1[[#This Row],[v2el_avg2]]-Table1[[#This Row],[v2elsn_avg]]</f>
        <v>1.2000000000000002</v>
      </c>
      <c r="AE42" s="4">
        <f>MAX(Table1[[#This Row],[v2eldonate_nr]:[v2elsnmrfc_nr]])</f>
        <v>7</v>
      </c>
      <c r="AF42" s="4">
        <f>MAX(Table1[[#This Row],[v2elsnlfc_nr]:[v2elsnmrfc_nr]])</f>
        <v>3</v>
      </c>
    </row>
    <row r="43" spans="1:32" x14ac:dyDescent="0.35">
      <c r="A43" t="s">
        <v>4</v>
      </c>
      <c r="B43">
        <v>1941</v>
      </c>
      <c r="C43">
        <v>7</v>
      </c>
      <c r="D43">
        <v>7</v>
      </c>
      <c r="E43">
        <v>7</v>
      </c>
      <c r="F43">
        <v>6</v>
      </c>
      <c r="G43">
        <v>5</v>
      </c>
      <c r="H43">
        <v>6</v>
      </c>
      <c r="I43">
        <v>7</v>
      </c>
      <c r="J43">
        <v>7</v>
      </c>
      <c r="K43">
        <v>6</v>
      </c>
      <c r="L43">
        <v>6</v>
      </c>
      <c r="M43">
        <v>6</v>
      </c>
      <c r="N43">
        <v>4</v>
      </c>
      <c r="O43">
        <v>6</v>
      </c>
      <c r="P43">
        <v>4</v>
      </c>
      <c r="Q43">
        <v>6</v>
      </c>
      <c r="R43">
        <v>6</v>
      </c>
      <c r="S43">
        <v>6</v>
      </c>
      <c r="T43">
        <v>6</v>
      </c>
      <c r="U43">
        <v>7</v>
      </c>
      <c r="V43">
        <v>5</v>
      </c>
      <c r="W43">
        <v>6</v>
      </c>
      <c r="X43">
        <v>3</v>
      </c>
      <c r="Y43">
        <v>3</v>
      </c>
      <c r="Z43">
        <f>AVERAGE(Table1[[#This Row],[v2eldonate_nr]:[v2elffelrbin_nr]])</f>
        <v>6</v>
      </c>
      <c r="AA4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43">
        <f>AVERAGE(Table1[[#This Row],[v2elsnlfc_nr]:[v2elsnmrfc_nr]])</f>
        <v>3</v>
      </c>
      <c r="AC43">
        <f>Table1[[#This Row],[v2el_avg]]-Table1[[#This Row],[v2elsn_avg]]</f>
        <v>3</v>
      </c>
      <c r="AD43" s="4">
        <f>Table1[[#This Row],[v2el_avg2]]-Table1[[#This Row],[v2elsn_avg]]</f>
        <v>2.7</v>
      </c>
      <c r="AE43" s="4">
        <f>MAX(Table1[[#This Row],[v2eldonate_nr]:[v2elsnmrfc_nr]])</f>
        <v>7</v>
      </c>
      <c r="AF43" s="4">
        <f>MAX(Table1[[#This Row],[v2elsnlfc_nr]:[v2elsnmrfc_nr]])</f>
        <v>3</v>
      </c>
    </row>
    <row r="44" spans="1:32" x14ac:dyDescent="0.35">
      <c r="A44" t="s">
        <v>4</v>
      </c>
      <c r="B44">
        <v>1942</v>
      </c>
      <c r="C44">
        <v>7</v>
      </c>
      <c r="D44">
        <v>7</v>
      </c>
      <c r="E44">
        <v>7</v>
      </c>
      <c r="F44">
        <v>6</v>
      </c>
      <c r="G44">
        <v>5</v>
      </c>
      <c r="H44">
        <v>4</v>
      </c>
      <c r="I44">
        <v>7</v>
      </c>
      <c r="J44">
        <v>7</v>
      </c>
      <c r="K44">
        <v>6</v>
      </c>
      <c r="L44">
        <v>5</v>
      </c>
      <c r="M44">
        <v>6</v>
      </c>
      <c r="N44">
        <v>5</v>
      </c>
      <c r="O44">
        <v>6</v>
      </c>
      <c r="P44">
        <v>4</v>
      </c>
      <c r="Q44">
        <v>6</v>
      </c>
      <c r="R44">
        <v>6</v>
      </c>
      <c r="S44">
        <v>6</v>
      </c>
      <c r="T44">
        <v>6</v>
      </c>
      <c r="U44">
        <v>7</v>
      </c>
      <c r="V44">
        <v>5</v>
      </c>
      <c r="W44">
        <v>6</v>
      </c>
      <c r="X44">
        <v>3</v>
      </c>
      <c r="Y44">
        <v>3</v>
      </c>
      <c r="Z44">
        <f>AVERAGE(Table1[[#This Row],[v2eldonate_nr]:[v2elffelrbin_nr]])</f>
        <v>5.9047619047619051</v>
      </c>
      <c r="AA4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44">
        <f>AVERAGE(Table1[[#This Row],[v2elsnlfc_nr]:[v2elsnmrfc_nr]])</f>
        <v>3</v>
      </c>
      <c r="AC44">
        <f>Table1[[#This Row],[v2el_avg]]-Table1[[#This Row],[v2elsn_avg]]</f>
        <v>2.9047619047619051</v>
      </c>
      <c r="AD44" s="4">
        <f>Table1[[#This Row],[v2el_avg2]]-Table1[[#This Row],[v2elsn_avg]]</f>
        <v>2.7</v>
      </c>
      <c r="AE44" s="4">
        <f>MAX(Table1[[#This Row],[v2eldonate_nr]:[v2elsnmrfc_nr]])</f>
        <v>7</v>
      </c>
      <c r="AF44" s="4">
        <f>MAX(Table1[[#This Row],[v2elsnlfc_nr]:[v2elsnmrfc_nr]])</f>
        <v>3</v>
      </c>
    </row>
    <row r="45" spans="1:32" x14ac:dyDescent="0.35">
      <c r="A45" t="s">
        <v>4</v>
      </c>
      <c r="B45">
        <v>1943</v>
      </c>
      <c r="C45">
        <v>3</v>
      </c>
      <c r="D45">
        <v>4</v>
      </c>
      <c r="E45">
        <v>5</v>
      </c>
      <c r="F45">
        <v>3</v>
      </c>
      <c r="G45">
        <v>6</v>
      </c>
      <c r="H45">
        <v>5</v>
      </c>
      <c r="I45">
        <v>7</v>
      </c>
      <c r="J45">
        <v>7</v>
      </c>
      <c r="K45">
        <v>5</v>
      </c>
      <c r="L45">
        <v>5</v>
      </c>
      <c r="M45">
        <v>5</v>
      </c>
      <c r="N45">
        <v>4</v>
      </c>
      <c r="O45">
        <v>5</v>
      </c>
      <c r="P45">
        <v>3</v>
      </c>
      <c r="Q45">
        <v>6</v>
      </c>
      <c r="R45">
        <v>5</v>
      </c>
      <c r="S45">
        <v>4</v>
      </c>
      <c r="T45">
        <v>6</v>
      </c>
      <c r="U45">
        <v>7</v>
      </c>
      <c r="V45">
        <v>5</v>
      </c>
      <c r="W45">
        <v>6</v>
      </c>
      <c r="X45">
        <v>3</v>
      </c>
      <c r="Y45">
        <v>3</v>
      </c>
      <c r="Z45">
        <f>AVERAGE(Table1[[#This Row],[v2eldonate_nr]:[v2elffelrbin_nr]])</f>
        <v>5.0476190476190474</v>
      </c>
      <c r="AA4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4.5</v>
      </c>
      <c r="AB45">
        <f>AVERAGE(Table1[[#This Row],[v2elsnlfc_nr]:[v2elsnmrfc_nr]])</f>
        <v>3</v>
      </c>
      <c r="AC45">
        <f>Table1[[#This Row],[v2el_avg]]-Table1[[#This Row],[v2elsn_avg]]</f>
        <v>2.0476190476190474</v>
      </c>
      <c r="AD45" s="4">
        <f>Table1[[#This Row],[v2el_avg2]]-Table1[[#This Row],[v2elsn_avg]]</f>
        <v>1.5</v>
      </c>
      <c r="AE45" s="4">
        <f>MAX(Table1[[#This Row],[v2eldonate_nr]:[v2elsnmrfc_nr]])</f>
        <v>7</v>
      </c>
      <c r="AF45" s="4">
        <f>MAX(Table1[[#This Row],[v2elsnlfc_nr]:[v2elsnmrfc_nr]])</f>
        <v>3</v>
      </c>
    </row>
    <row r="46" spans="1:32" x14ac:dyDescent="0.35">
      <c r="A46" t="s">
        <v>4</v>
      </c>
      <c r="B46">
        <v>1944</v>
      </c>
      <c r="C46">
        <v>2</v>
      </c>
      <c r="D46">
        <v>3</v>
      </c>
      <c r="E46">
        <v>4</v>
      </c>
      <c r="F46">
        <v>3</v>
      </c>
      <c r="T46">
        <v>6</v>
      </c>
      <c r="U46">
        <v>7</v>
      </c>
      <c r="V46">
        <v>5</v>
      </c>
      <c r="W46">
        <v>6</v>
      </c>
      <c r="X46">
        <v>3</v>
      </c>
      <c r="Y46">
        <v>3</v>
      </c>
      <c r="Z46">
        <f>AVERAGE(Table1[[#This Row],[v2eldonate_nr]:[v2elffelrbin_nr]])</f>
        <v>4.5</v>
      </c>
      <c r="AA4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46">
        <f>AVERAGE(Table1[[#This Row],[v2elsnlfc_nr]:[v2elsnmrfc_nr]])</f>
        <v>3</v>
      </c>
      <c r="AC46">
        <f>Table1[[#This Row],[v2el_avg]]-Table1[[#This Row],[v2elsn_avg]]</f>
        <v>1.5</v>
      </c>
      <c r="AD46" s="4">
        <f>Table1[[#This Row],[v2el_avg2]]-Table1[[#This Row],[v2elsn_avg]]</f>
        <v>1.2000000000000002</v>
      </c>
      <c r="AE46" s="4">
        <f>MAX(Table1[[#This Row],[v2eldonate_nr]:[v2elsnmrfc_nr]])</f>
        <v>7</v>
      </c>
      <c r="AF46" s="4">
        <f>MAX(Table1[[#This Row],[v2elsnlfc_nr]:[v2elsnmrfc_nr]])</f>
        <v>3</v>
      </c>
    </row>
    <row r="47" spans="1:32" x14ac:dyDescent="0.35">
      <c r="A47" t="s">
        <v>4</v>
      </c>
      <c r="B47">
        <v>1945</v>
      </c>
      <c r="C47">
        <v>7</v>
      </c>
      <c r="D47">
        <v>7</v>
      </c>
      <c r="E47">
        <v>7</v>
      </c>
      <c r="F47">
        <v>6</v>
      </c>
      <c r="G47">
        <v>6</v>
      </c>
      <c r="H47">
        <v>5</v>
      </c>
      <c r="I47">
        <v>7</v>
      </c>
      <c r="J47">
        <v>7</v>
      </c>
      <c r="K47">
        <v>6</v>
      </c>
      <c r="L47">
        <v>6</v>
      </c>
      <c r="M47">
        <v>6</v>
      </c>
      <c r="N47">
        <v>4</v>
      </c>
      <c r="O47">
        <v>5</v>
      </c>
      <c r="P47">
        <v>3</v>
      </c>
      <c r="Q47">
        <v>6</v>
      </c>
      <c r="R47">
        <v>5</v>
      </c>
      <c r="S47">
        <v>5</v>
      </c>
      <c r="T47">
        <v>6</v>
      </c>
      <c r="U47">
        <v>7</v>
      </c>
      <c r="V47">
        <v>5</v>
      </c>
      <c r="W47">
        <v>6</v>
      </c>
      <c r="X47">
        <v>3</v>
      </c>
      <c r="Y47">
        <v>3</v>
      </c>
      <c r="Z47">
        <f>AVERAGE(Table1[[#This Row],[v2eldonate_nr]:[v2elffelrbin_nr]])</f>
        <v>5.8095238095238093</v>
      </c>
      <c r="AA4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47">
        <f>AVERAGE(Table1[[#This Row],[v2elsnlfc_nr]:[v2elsnmrfc_nr]])</f>
        <v>3</v>
      </c>
      <c r="AC47">
        <f>Table1[[#This Row],[v2el_avg]]-Table1[[#This Row],[v2elsn_avg]]</f>
        <v>2.8095238095238093</v>
      </c>
      <c r="AD47" s="4">
        <f>Table1[[#This Row],[v2el_avg2]]-Table1[[#This Row],[v2elsn_avg]]</f>
        <v>2.7</v>
      </c>
      <c r="AE47" s="4">
        <f>MAX(Table1[[#This Row],[v2eldonate_nr]:[v2elsnmrfc_nr]])</f>
        <v>7</v>
      </c>
      <c r="AF47" s="4">
        <f>MAX(Table1[[#This Row],[v2elsnlfc_nr]:[v2elsnmrfc_nr]])</f>
        <v>3</v>
      </c>
    </row>
    <row r="48" spans="1:32" x14ac:dyDescent="0.35">
      <c r="A48" t="s">
        <v>4</v>
      </c>
      <c r="B48">
        <v>1946</v>
      </c>
      <c r="C48">
        <v>7</v>
      </c>
      <c r="D48">
        <v>7</v>
      </c>
      <c r="E48">
        <v>7</v>
      </c>
      <c r="F48">
        <v>7</v>
      </c>
      <c r="G48">
        <v>5</v>
      </c>
      <c r="H48">
        <v>4</v>
      </c>
      <c r="I48">
        <v>7</v>
      </c>
      <c r="J48">
        <v>7</v>
      </c>
      <c r="K48">
        <v>6</v>
      </c>
      <c r="L48">
        <v>6</v>
      </c>
      <c r="M48">
        <v>6</v>
      </c>
      <c r="N48">
        <v>5</v>
      </c>
      <c r="O48">
        <v>5</v>
      </c>
      <c r="P48">
        <v>4</v>
      </c>
      <c r="Q48">
        <v>6</v>
      </c>
      <c r="R48">
        <v>6</v>
      </c>
      <c r="S48">
        <v>6</v>
      </c>
      <c r="T48">
        <v>6</v>
      </c>
      <c r="U48">
        <v>7</v>
      </c>
      <c r="V48">
        <v>5</v>
      </c>
      <c r="W48">
        <v>6</v>
      </c>
      <c r="X48">
        <v>3</v>
      </c>
      <c r="Y48">
        <v>3</v>
      </c>
      <c r="Z48">
        <f>AVERAGE(Table1[[#This Row],[v2eldonate_nr]:[v2elffelrbin_nr]])</f>
        <v>5.9523809523809526</v>
      </c>
      <c r="AA4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5.8</v>
      </c>
      <c r="AB48">
        <f>AVERAGE(Table1[[#This Row],[v2elsnlfc_nr]:[v2elsnmrfc_nr]])</f>
        <v>3</v>
      </c>
      <c r="AC48">
        <f>Table1[[#This Row],[v2el_avg]]-Table1[[#This Row],[v2elsn_avg]]</f>
        <v>2.9523809523809526</v>
      </c>
      <c r="AD48" s="4">
        <f>Table1[[#This Row],[v2el_avg2]]-Table1[[#This Row],[v2elsn_avg]]</f>
        <v>2.8</v>
      </c>
      <c r="AE48" s="4">
        <f>MAX(Table1[[#This Row],[v2eldonate_nr]:[v2elsnmrfc_nr]])</f>
        <v>7</v>
      </c>
      <c r="AF48" s="4">
        <f>MAX(Table1[[#This Row],[v2elsnlfc_nr]:[v2elsnmrfc_nr]])</f>
        <v>3</v>
      </c>
    </row>
    <row r="49" spans="1:32" x14ac:dyDescent="0.35">
      <c r="A49" t="s">
        <v>4</v>
      </c>
      <c r="B49">
        <v>1947</v>
      </c>
      <c r="C49">
        <v>7</v>
      </c>
      <c r="D49">
        <v>7</v>
      </c>
      <c r="E49">
        <v>7</v>
      </c>
      <c r="F49">
        <v>7</v>
      </c>
      <c r="G49">
        <v>6</v>
      </c>
      <c r="H49">
        <v>5</v>
      </c>
      <c r="I49">
        <v>7</v>
      </c>
      <c r="J49">
        <v>7</v>
      </c>
      <c r="K49">
        <v>6</v>
      </c>
      <c r="L49">
        <v>6</v>
      </c>
      <c r="M49">
        <v>6</v>
      </c>
      <c r="N49">
        <v>5</v>
      </c>
      <c r="O49">
        <v>5</v>
      </c>
      <c r="P49">
        <v>4</v>
      </c>
      <c r="Q49">
        <v>6</v>
      </c>
      <c r="R49">
        <v>6</v>
      </c>
      <c r="S49">
        <v>6</v>
      </c>
      <c r="T49">
        <v>6</v>
      </c>
      <c r="U49">
        <v>7</v>
      </c>
      <c r="V49">
        <v>5</v>
      </c>
      <c r="W49">
        <v>6</v>
      </c>
      <c r="X49">
        <v>3</v>
      </c>
      <c r="Y49">
        <v>2</v>
      </c>
      <c r="Z49">
        <f>AVERAGE(Table1[[#This Row],[v2eldonate_nr]:[v2elffelrbin_nr]])</f>
        <v>6.0476190476190474</v>
      </c>
      <c r="AA4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49">
        <f>AVERAGE(Table1[[#This Row],[v2elsnlfc_nr]:[v2elsnmrfc_nr]])</f>
        <v>2.5</v>
      </c>
      <c r="AC49">
        <f>Table1[[#This Row],[v2el_avg]]-Table1[[#This Row],[v2elsn_avg]]</f>
        <v>3.5476190476190474</v>
      </c>
      <c r="AD49" s="4">
        <f>Table1[[#This Row],[v2el_avg2]]-Table1[[#This Row],[v2elsn_avg]]</f>
        <v>3.2</v>
      </c>
      <c r="AE49" s="4">
        <f>MAX(Table1[[#This Row],[v2eldonate_nr]:[v2elsnmrfc_nr]])</f>
        <v>7</v>
      </c>
      <c r="AF49" s="4">
        <f>MAX(Table1[[#This Row],[v2elsnlfc_nr]:[v2elsnmrfc_nr]])</f>
        <v>3</v>
      </c>
    </row>
    <row r="50" spans="1:32" x14ac:dyDescent="0.35">
      <c r="A50" t="s">
        <v>4</v>
      </c>
      <c r="B50">
        <v>1948</v>
      </c>
      <c r="C50">
        <v>2</v>
      </c>
      <c r="D50">
        <v>3</v>
      </c>
      <c r="E50">
        <v>4</v>
      </c>
      <c r="F50">
        <v>4</v>
      </c>
      <c r="T50">
        <v>6</v>
      </c>
      <c r="U50">
        <v>7</v>
      </c>
      <c r="V50">
        <v>5</v>
      </c>
      <c r="W50">
        <v>6</v>
      </c>
      <c r="X50">
        <v>3</v>
      </c>
      <c r="Y50">
        <v>2</v>
      </c>
      <c r="Z50">
        <f>AVERAGE(Table1[[#This Row],[v2eldonate_nr]:[v2elffelrbin_nr]])</f>
        <v>4.625</v>
      </c>
      <c r="AA5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0">
        <f>AVERAGE(Table1[[#This Row],[v2elsnlfc_nr]:[v2elsnmrfc_nr]])</f>
        <v>2.5</v>
      </c>
      <c r="AC50">
        <f>Table1[[#This Row],[v2el_avg]]-Table1[[#This Row],[v2elsn_avg]]</f>
        <v>2.125</v>
      </c>
      <c r="AD50" s="4">
        <f>Table1[[#This Row],[v2el_avg2]]-Table1[[#This Row],[v2elsn_avg]]</f>
        <v>1.7000000000000002</v>
      </c>
      <c r="AE50" s="4">
        <f>MAX(Table1[[#This Row],[v2eldonate_nr]:[v2elsnmrfc_nr]])</f>
        <v>7</v>
      </c>
      <c r="AF50" s="4">
        <f>MAX(Table1[[#This Row],[v2elsnlfc_nr]:[v2elsnmrfc_nr]])</f>
        <v>3</v>
      </c>
    </row>
    <row r="51" spans="1:32" x14ac:dyDescent="0.35">
      <c r="A51" t="s">
        <v>4</v>
      </c>
      <c r="B51">
        <v>1949</v>
      </c>
      <c r="C51">
        <v>7</v>
      </c>
      <c r="D51">
        <v>7</v>
      </c>
      <c r="E51">
        <v>7</v>
      </c>
      <c r="F51">
        <v>7</v>
      </c>
      <c r="G51">
        <v>6</v>
      </c>
      <c r="H51">
        <v>6</v>
      </c>
      <c r="I51">
        <v>7</v>
      </c>
      <c r="J51">
        <v>7</v>
      </c>
      <c r="K51">
        <v>6</v>
      </c>
      <c r="L51">
        <v>6</v>
      </c>
      <c r="M51">
        <v>6</v>
      </c>
      <c r="N51">
        <v>5</v>
      </c>
      <c r="O51">
        <v>5</v>
      </c>
      <c r="P51">
        <v>5</v>
      </c>
      <c r="Q51">
        <v>6</v>
      </c>
      <c r="R51">
        <v>6</v>
      </c>
      <c r="S51">
        <v>5</v>
      </c>
      <c r="T51">
        <v>6</v>
      </c>
      <c r="U51">
        <v>7</v>
      </c>
      <c r="V51">
        <v>5</v>
      </c>
      <c r="W51">
        <v>6</v>
      </c>
      <c r="X51">
        <v>3</v>
      </c>
      <c r="Y51">
        <v>2</v>
      </c>
      <c r="Z51">
        <f>AVERAGE(Table1[[#This Row],[v2eldonate_nr]:[v2elffelrbin_nr]])</f>
        <v>6.0952380952380949</v>
      </c>
      <c r="AA5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51">
        <f>AVERAGE(Table1[[#This Row],[v2elsnlfc_nr]:[v2elsnmrfc_nr]])</f>
        <v>2.5</v>
      </c>
      <c r="AC51">
        <f>Table1[[#This Row],[v2el_avg]]-Table1[[#This Row],[v2elsn_avg]]</f>
        <v>3.5952380952380949</v>
      </c>
      <c r="AD51" s="4">
        <f>Table1[[#This Row],[v2el_avg2]]-Table1[[#This Row],[v2elsn_avg]]</f>
        <v>3.2</v>
      </c>
      <c r="AE51" s="4">
        <f>MAX(Table1[[#This Row],[v2eldonate_nr]:[v2elsnmrfc_nr]])</f>
        <v>7</v>
      </c>
      <c r="AF51" s="4">
        <f>MAX(Table1[[#This Row],[v2elsnlfc_nr]:[v2elsnmrfc_nr]])</f>
        <v>3</v>
      </c>
    </row>
    <row r="52" spans="1:32" x14ac:dyDescent="0.35">
      <c r="A52" t="s">
        <v>4</v>
      </c>
      <c r="B52">
        <v>1950</v>
      </c>
      <c r="C52">
        <v>2</v>
      </c>
      <c r="D52">
        <v>3</v>
      </c>
      <c r="E52">
        <v>4</v>
      </c>
      <c r="F52">
        <v>4</v>
      </c>
      <c r="T52">
        <v>6</v>
      </c>
      <c r="U52">
        <v>7</v>
      </c>
      <c r="V52">
        <v>5</v>
      </c>
      <c r="W52">
        <v>6</v>
      </c>
      <c r="X52">
        <v>3</v>
      </c>
      <c r="Y52">
        <v>2</v>
      </c>
      <c r="Z52">
        <f>AVERAGE(Table1[[#This Row],[v2eldonate_nr]:[v2elffelrbin_nr]])</f>
        <v>4.625</v>
      </c>
      <c r="AA5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2">
        <f>AVERAGE(Table1[[#This Row],[v2elsnlfc_nr]:[v2elsnmrfc_nr]])</f>
        <v>2.5</v>
      </c>
      <c r="AC52">
        <f>Table1[[#This Row],[v2el_avg]]-Table1[[#This Row],[v2elsn_avg]]</f>
        <v>2.125</v>
      </c>
      <c r="AD52" s="4">
        <f>Table1[[#This Row],[v2el_avg2]]-Table1[[#This Row],[v2elsn_avg]]</f>
        <v>1.7000000000000002</v>
      </c>
      <c r="AE52" s="4">
        <f>MAX(Table1[[#This Row],[v2eldonate_nr]:[v2elsnmrfc_nr]])</f>
        <v>7</v>
      </c>
      <c r="AF52" s="4">
        <f>MAX(Table1[[#This Row],[v2elsnlfc_nr]:[v2elsnmrfc_nr]])</f>
        <v>3</v>
      </c>
    </row>
    <row r="53" spans="1:32" x14ac:dyDescent="0.35">
      <c r="A53" t="s">
        <v>4</v>
      </c>
      <c r="B53">
        <v>1951</v>
      </c>
      <c r="C53">
        <v>7</v>
      </c>
      <c r="D53">
        <v>7</v>
      </c>
      <c r="E53">
        <v>7</v>
      </c>
      <c r="F53">
        <v>7</v>
      </c>
      <c r="G53">
        <v>5</v>
      </c>
      <c r="H53">
        <v>5</v>
      </c>
      <c r="I53">
        <v>7</v>
      </c>
      <c r="J53">
        <v>7</v>
      </c>
      <c r="K53">
        <v>6</v>
      </c>
      <c r="L53">
        <v>6</v>
      </c>
      <c r="M53">
        <v>6</v>
      </c>
      <c r="N53">
        <v>5</v>
      </c>
      <c r="O53">
        <v>5</v>
      </c>
      <c r="P53">
        <v>4</v>
      </c>
      <c r="Q53">
        <v>5</v>
      </c>
      <c r="R53">
        <v>5</v>
      </c>
      <c r="S53">
        <v>5</v>
      </c>
      <c r="T53">
        <v>6</v>
      </c>
      <c r="U53">
        <v>7</v>
      </c>
      <c r="V53">
        <v>5</v>
      </c>
      <c r="W53">
        <v>6</v>
      </c>
      <c r="X53">
        <v>3</v>
      </c>
      <c r="Y53">
        <v>2</v>
      </c>
      <c r="Z53">
        <f>AVERAGE(Table1[[#This Row],[v2eldonate_nr]:[v2elffelrbin_nr]])</f>
        <v>5.8571428571428568</v>
      </c>
      <c r="AA5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53">
        <f>AVERAGE(Table1[[#This Row],[v2elsnlfc_nr]:[v2elsnmrfc_nr]])</f>
        <v>2.5</v>
      </c>
      <c r="AC53">
        <f>Table1[[#This Row],[v2el_avg]]-Table1[[#This Row],[v2elsn_avg]]</f>
        <v>3.3571428571428568</v>
      </c>
      <c r="AD53" s="4">
        <f>Table1[[#This Row],[v2el_avg2]]-Table1[[#This Row],[v2elsn_avg]]</f>
        <v>3.2</v>
      </c>
      <c r="AE53" s="4">
        <f>MAX(Table1[[#This Row],[v2eldonate_nr]:[v2elsnmrfc_nr]])</f>
        <v>7</v>
      </c>
      <c r="AF53" s="4">
        <f>MAX(Table1[[#This Row],[v2elsnlfc_nr]:[v2elsnmrfc_nr]])</f>
        <v>3</v>
      </c>
    </row>
    <row r="54" spans="1:32" x14ac:dyDescent="0.35">
      <c r="A54" t="s">
        <v>4</v>
      </c>
      <c r="B54">
        <v>1952</v>
      </c>
      <c r="C54">
        <v>2</v>
      </c>
      <c r="D54">
        <v>3</v>
      </c>
      <c r="E54">
        <v>4</v>
      </c>
      <c r="F54">
        <v>4</v>
      </c>
      <c r="T54">
        <v>6</v>
      </c>
      <c r="U54">
        <v>7</v>
      </c>
      <c r="V54">
        <v>5</v>
      </c>
      <c r="W54">
        <v>6</v>
      </c>
      <c r="X54">
        <v>3</v>
      </c>
      <c r="Y54">
        <v>2</v>
      </c>
      <c r="Z54">
        <f>AVERAGE(Table1[[#This Row],[v2eldonate_nr]:[v2elffelrbin_nr]])</f>
        <v>4.625</v>
      </c>
      <c r="AA5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4">
        <f>AVERAGE(Table1[[#This Row],[v2elsnlfc_nr]:[v2elsnmrfc_nr]])</f>
        <v>2.5</v>
      </c>
      <c r="AC54">
        <f>Table1[[#This Row],[v2el_avg]]-Table1[[#This Row],[v2elsn_avg]]</f>
        <v>2.125</v>
      </c>
      <c r="AD54" s="4">
        <f>Table1[[#This Row],[v2el_avg2]]-Table1[[#This Row],[v2elsn_avg]]</f>
        <v>1.7000000000000002</v>
      </c>
      <c r="AE54" s="4">
        <f>MAX(Table1[[#This Row],[v2eldonate_nr]:[v2elsnmrfc_nr]])</f>
        <v>7</v>
      </c>
      <c r="AF54" s="4">
        <f>MAX(Table1[[#This Row],[v2elsnlfc_nr]:[v2elsnmrfc_nr]])</f>
        <v>3</v>
      </c>
    </row>
    <row r="55" spans="1:32" x14ac:dyDescent="0.35">
      <c r="A55" t="s">
        <v>4</v>
      </c>
      <c r="B55">
        <v>1953</v>
      </c>
      <c r="C55">
        <v>7</v>
      </c>
      <c r="D55">
        <v>7</v>
      </c>
      <c r="E55">
        <v>7</v>
      </c>
      <c r="F55">
        <v>7</v>
      </c>
      <c r="G55">
        <v>6</v>
      </c>
      <c r="H55">
        <v>5</v>
      </c>
      <c r="I55">
        <v>7</v>
      </c>
      <c r="J55">
        <v>7</v>
      </c>
      <c r="K55">
        <v>6</v>
      </c>
      <c r="L55">
        <v>6</v>
      </c>
      <c r="M55">
        <v>6</v>
      </c>
      <c r="N55">
        <v>5</v>
      </c>
      <c r="O55">
        <v>5</v>
      </c>
      <c r="P55">
        <v>4</v>
      </c>
      <c r="Q55">
        <v>6</v>
      </c>
      <c r="R55">
        <v>6</v>
      </c>
      <c r="S55">
        <v>5</v>
      </c>
      <c r="T55">
        <v>6</v>
      </c>
      <c r="U55">
        <v>7</v>
      </c>
      <c r="V55">
        <v>5</v>
      </c>
      <c r="W55">
        <v>6</v>
      </c>
      <c r="X55">
        <v>3</v>
      </c>
      <c r="Y55">
        <v>2</v>
      </c>
      <c r="Z55">
        <f>AVERAGE(Table1[[#This Row],[v2eldonate_nr]:[v2elffelrbin_nr]])</f>
        <v>6</v>
      </c>
      <c r="AA5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5.7</v>
      </c>
      <c r="AB55">
        <f>AVERAGE(Table1[[#This Row],[v2elsnlfc_nr]:[v2elsnmrfc_nr]])</f>
        <v>2.5</v>
      </c>
      <c r="AC55">
        <f>Table1[[#This Row],[v2el_avg]]-Table1[[#This Row],[v2elsn_avg]]</f>
        <v>3.5</v>
      </c>
      <c r="AD55" s="4">
        <f>Table1[[#This Row],[v2el_avg2]]-Table1[[#This Row],[v2elsn_avg]]</f>
        <v>3.2</v>
      </c>
      <c r="AE55" s="4">
        <f>MAX(Table1[[#This Row],[v2eldonate_nr]:[v2elsnmrfc_nr]])</f>
        <v>7</v>
      </c>
      <c r="AF55" s="4">
        <f>MAX(Table1[[#This Row],[v2elsnlfc_nr]:[v2elsnmrfc_nr]])</f>
        <v>3</v>
      </c>
    </row>
    <row r="56" spans="1:32" x14ac:dyDescent="0.35">
      <c r="A56" t="s">
        <v>4</v>
      </c>
      <c r="B56">
        <v>1954</v>
      </c>
      <c r="C56">
        <v>2</v>
      </c>
      <c r="D56">
        <v>3</v>
      </c>
      <c r="E56">
        <v>4</v>
      </c>
      <c r="F56">
        <v>4</v>
      </c>
      <c r="T56">
        <v>6</v>
      </c>
      <c r="U56">
        <v>7</v>
      </c>
      <c r="V56">
        <v>5</v>
      </c>
      <c r="W56">
        <v>6</v>
      </c>
      <c r="X56">
        <v>3</v>
      </c>
      <c r="Y56">
        <v>2</v>
      </c>
      <c r="Z56">
        <f>AVERAGE(Table1[[#This Row],[v2eldonate_nr]:[v2elffelrbin_nr]])</f>
        <v>4.625</v>
      </c>
      <c r="AA5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6">
        <f>AVERAGE(Table1[[#This Row],[v2elsnlfc_nr]:[v2elsnmrfc_nr]])</f>
        <v>2.5</v>
      </c>
      <c r="AC56">
        <f>Table1[[#This Row],[v2el_avg]]-Table1[[#This Row],[v2elsn_avg]]</f>
        <v>2.125</v>
      </c>
      <c r="AD56" s="4">
        <f>Table1[[#This Row],[v2el_avg2]]-Table1[[#This Row],[v2elsn_avg]]</f>
        <v>1.7000000000000002</v>
      </c>
      <c r="AE56" s="4">
        <f>MAX(Table1[[#This Row],[v2eldonate_nr]:[v2elsnmrfc_nr]])</f>
        <v>7</v>
      </c>
      <c r="AF56" s="4">
        <f>MAX(Table1[[#This Row],[v2elsnlfc_nr]:[v2elsnmrfc_nr]])</f>
        <v>3</v>
      </c>
    </row>
    <row r="57" spans="1:32" x14ac:dyDescent="0.35">
      <c r="A57" t="s">
        <v>4</v>
      </c>
      <c r="B57">
        <v>1955</v>
      </c>
      <c r="C57">
        <v>2</v>
      </c>
      <c r="D57">
        <v>3</v>
      </c>
      <c r="E57">
        <v>4</v>
      </c>
      <c r="F57">
        <v>4</v>
      </c>
      <c r="T57">
        <v>6</v>
      </c>
      <c r="U57">
        <v>7</v>
      </c>
      <c r="V57">
        <v>5</v>
      </c>
      <c r="W57">
        <v>6</v>
      </c>
      <c r="X57">
        <v>3</v>
      </c>
      <c r="Y57">
        <v>2</v>
      </c>
      <c r="Z57">
        <f>AVERAGE(Table1[[#This Row],[v2eldonate_nr]:[v2elffelrbin_nr]])</f>
        <v>4.625</v>
      </c>
      <c r="AA5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7">
        <f>AVERAGE(Table1[[#This Row],[v2elsnlfc_nr]:[v2elsnmrfc_nr]])</f>
        <v>2.5</v>
      </c>
      <c r="AC57">
        <f>Table1[[#This Row],[v2el_avg]]-Table1[[#This Row],[v2elsn_avg]]</f>
        <v>2.125</v>
      </c>
      <c r="AD57" s="4">
        <f>Table1[[#This Row],[v2el_avg2]]-Table1[[#This Row],[v2elsn_avg]]</f>
        <v>1.7000000000000002</v>
      </c>
      <c r="AE57" s="4">
        <f>MAX(Table1[[#This Row],[v2eldonate_nr]:[v2elsnmrfc_nr]])</f>
        <v>7</v>
      </c>
      <c r="AF57" s="4">
        <f>MAX(Table1[[#This Row],[v2elsnlfc_nr]:[v2elsnmrfc_nr]])</f>
        <v>3</v>
      </c>
    </row>
    <row r="58" spans="1:32" x14ac:dyDescent="0.35">
      <c r="A58" t="s">
        <v>4</v>
      </c>
      <c r="B58">
        <v>1956</v>
      </c>
      <c r="C58">
        <v>2</v>
      </c>
      <c r="D58">
        <v>3</v>
      </c>
      <c r="E58">
        <v>4</v>
      </c>
      <c r="F58">
        <v>4</v>
      </c>
      <c r="T58">
        <v>6</v>
      </c>
      <c r="U58">
        <v>7</v>
      </c>
      <c r="V58">
        <v>5</v>
      </c>
      <c r="W58">
        <v>6</v>
      </c>
      <c r="X58">
        <v>3</v>
      </c>
      <c r="Y58">
        <v>2</v>
      </c>
      <c r="Z58">
        <f>AVERAGE(Table1[[#This Row],[v2eldonate_nr]:[v2elffelrbin_nr]])</f>
        <v>4.625</v>
      </c>
      <c r="AA5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8">
        <f>AVERAGE(Table1[[#This Row],[v2elsnlfc_nr]:[v2elsnmrfc_nr]])</f>
        <v>2.5</v>
      </c>
      <c r="AC58">
        <f>Table1[[#This Row],[v2el_avg]]-Table1[[#This Row],[v2elsn_avg]]</f>
        <v>2.125</v>
      </c>
      <c r="AD58" s="4">
        <f>Table1[[#This Row],[v2el_avg2]]-Table1[[#This Row],[v2elsn_avg]]</f>
        <v>1.7000000000000002</v>
      </c>
      <c r="AE58" s="4">
        <f>MAX(Table1[[#This Row],[v2eldonate_nr]:[v2elsnmrfc_nr]])</f>
        <v>7</v>
      </c>
      <c r="AF58" s="4">
        <f>MAX(Table1[[#This Row],[v2elsnlfc_nr]:[v2elsnmrfc_nr]])</f>
        <v>3</v>
      </c>
    </row>
    <row r="59" spans="1:32" x14ac:dyDescent="0.35">
      <c r="A59" t="s">
        <v>4</v>
      </c>
      <c r="B59">
        <v>1957</v>
      </c>
      <c r="C59">
        <v>2</v>
      </c>
      <c r="D59">
        <v>3</v>
      </c>
      <c r="E59">
        <v>4</v>
      </c>
      <c r="F59">
        <v>4</v>
      </c>
      <c r="T59">
        <v>6</v>
      </c>
      <c r="U59">
        <v>7</v>
      </c>
      <c r="V59">
        <v>5</v>
      </c>
      <c r="W59">
        <v>6</v>
      </c>
      <c r="X59">
        <v>3</v>
      </c>
      <c r="Y59">
        <v>2</v>
      </c>
      <c r="Z59">
        <f>AVERAGE(Table1[[#This Row],[v2eldonate_nr]:[v2elffelrbin_nr]])</f>
        <v>4.625</v>
      </c>
      <c r="AA5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4.2</v>
      </c>
      <c r="AB59">
        <f>AVERAGE(Table1[[#This Row],[v2elsnlfc_nr]:[v2elsnmrfc_nr]])</f>
        <v>2.5</v>
      </c>
      <c r="AC59">
        <f>Table1[[#This Row],[v2el_avg]]-Table1[[#This Row],[v2elsn_avg]]</f>
        <v>2.125</v>
      </c>
      <c r="AD59" s="4">
        <f>Table1[[#This Row],[v2el_avg2]]-Table1[[#This Row],[v2elsn_avg]]</f>
        <v>1.7000000000000002</v>
      </c>
      <c r="AE59" s="4">
        <f>MAX(Table1[[#This Row],[v2eldonate_nr]:[v2elsnmrfc_nr]])</f>
        <v>7</v>
      </c>
      <c r="AF59" s="4">
        <f>MAX(Table1[[#This Row],[v2elsnlfc_nr]:[v2elsnmrfc_nr]])</f>
        <v>3</v>
      </c>
    </row>
    <row r="60" spans="1:32" x14ac:dyDescent="0.35">
      <c r="A60" t="s">
        <v>4</v>
      </c>
      <c r="B60">
        <v>1958</v>
      </c>
      <c r="C60">
        <v>7</v>
      </c>
      <c r="D60">
        <v>7</v>
      </c>
      <c r="E60">
        <v>7</v>
      </c>
      <c r="F60">
        <v>6</v>
      </c>
      <c r="G60">
        <v>6</v>
      </c>
      <c r="H60">
        <v>6</v>
      </c>
      <c r="I60">
        <v>7</v>
      </c>
      <c r="J60">
        <v>7</v>
      </c>
      <c r="K60">
        <v>6</v>
      </c>
      <c r="L60">
        <v>6</v>
      </c>
      <c r="M60">
        <v>7</v>
      </c>
      <c r="N60">
        <v>5</v>
      </c>
      <c r="O60">
        <v>6</v>
      </c>
      <c r="P60">
        <v>5</v>
      </c>
      <c r="Q60">
        <v>7</v>
      </c>
      <c r="R60">
        <v>6</v>
      </c>
      <c r="S60">
        <v>6</v>
      </c>
      <c r="T60">
        <v>6</v>
      </c>
      <c r="U60">
        <v>7</v>
      </c>
      <c r="V60">
        <v>7</v>
      </c>
      <c r="W60">
        <v>7</v>
      </c>
      <c r="X60">
        <v>4</v>
      </c>
      <c r="Y60">
        <v>4</v>
      </c>
      <c r="Z60">
        <f>AVERAGE(Table1[[#This Row],[v2eldonate_nr]:[v2elffelrbin_nr]])</f>
        <v>6.3809523809523814</v>
      </c>
      <c r="AA6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60">
        <f>AVERAGE(Table1[[#This Row],[v2elsnlfc_nr]:[v2elsnmrfc_nr]])</f>
        <v>4</v>
      </c>
      <c r="AC60">
        <f>Table1[[#This Row],[v2el_avg]]-Table1[[#This Row],[v2elsn_avg]]</f>
        <v>2.3809523809523814</v>
      </c>
      <c r="AD60" s="4">
        <f>Table1[[#This Row],[v2el_avg2]]-Table1[[#This Row],[v2elsn_avg]]</f>
        <v>2.2000000000000002</v>
      </c>
      <c r="AE60" s="4">
        <f>MAX(Table1[[#This Row],[v2eldonate_nr]:[v2elsnmrfc_nr]])</f>
        <v>7</v>
      </c>
      <c r="AF60" s="4">
        <f>MAX(Table1[[#This Row],[v2elsnlfc_nr]:[v2elsnmrfc_nr]])</f>
        <v>4</v>
      </c>
    </row>
    <row r="61" spans="1:32" x14ac:dyDescent="0.35">
      <c r="A61" t="s">
        <v>4</v>
      </c>
      <c r="B61">
        <v>1959</v>
      </c>
      <c r="C61">
        <v>2</v>
      </c>
      <c r="D61">
        <v>3</v>
      </c>
      <c r="E61">
        <v>4</v>
      </c>
      <c r="F61">
        <v>3</v>
      </c>
      <c r="T61">
        <v>6</v>
      </c>
      <c r="U61">
        <v>7</v>
      </c>
      <c r="V61">
        <v>6</v>
      </c>
      <c r="W61">
        <v>7</v>
      </c>
      <c r="X61">
        <v>3</v>
      </c>
      <c r="Y61">
        <v>3</v>
      </c>
      <c r="Z61">
        <f>AVERAGE(Table1[[#This Row],[v2eldonate_nr]:[v2elffelrbin_nr]])</f>
        <v>4.75</v>
      </c>
      <c r="AA6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61">
        <f>AVERAGE(Table1[[#This Row],[v2elsnlfc_nr]:[v2elsnmrfc_nr]])</f>
        <v>3</v>
      </c>
      <c r="AC61">
        <f>Table1[[#This Row],[v2el_avg]]-Table1[[#This Row],[v2elsn_avg]]</f>
        <v>1.75</v>
      </c>
      <c r="AD61" s="4">
        <f>Table1[[#This Row],[v2el_avg2]]-Table1[[#This Row],[v2elsn_avg]]</f>
        <v>1.4000000000000004</v>
      </c>
      <c r="AE61" s="4">
        <f>MAX(Table1[[#This Row],[v2eldonate_nr]:[v2elsnmrfc_nr]])</f>
        <v>7</v>
      </c>
      <c r="AF61" s="4">
        <f>MAX(Table1[[#This Row],[v2elsnlfc_nr]:[v2elsnmrfc_nr]])</f>
        <v>3</v>
      </c>
    </row>
    <row r="62" spans="1:32" x14ac:dyDescent="0.35">
      <c r="A62" t="s">
        <v>4</v>
      </c>
      <c r="B62">
        <v>1960</v>
      </c>
      <c r="C62">
        <v>7</v>
      </c>
      <c r="D62">
        <v>7</v>
      </c>
      <c r="E62">
        <v>7</v>
      </c>
      <c r="F62">
        <v>6</v>
      </c>
      <c r="G62">
        <v>6</v>
      </c>
      <c r="H62">
        <v>6</v>
      </c>
      <c r="I62">
        <v>6</v>
      </c>
      <c r="J62">
        <v>7</v>
      </c>
      <c r="K62">
        <v>6</v>
      </c>
      <c r="L62">
        <v>6</v>
      </c>
      <c r="M62">
        <v>7</v>
      </c>
      <c r="N62">
        <v>5</v>
      </c>
      <c r="O62">
        <v>6</v>
      </c>
      <c r="P62">
        <v>4</v>
      </c>
      <c r="Q62">
        <v>7</v>
      </c>
      <c r="R62">
        <v>6</v>
      </c>
      <c r="S62">
        <v>6</v>
      </c>
      <c r="T62">
        <v>6</v>
      </c>
      <c r="U62">
        <v>7</v>
      </c>
      <c r="V62">
        <v>7</v>
      </c>
      <c r="W62">
        <v>7</v>
      </c>
      <c r="X62">
        <v>4</v>
      </c>
      <c r="Y62">
        <v>4</v>
      </c>
      <c r="Z62">
        <f>AVERAGE(Table1[[#This Row],[v2eldonate_nr]:[v2elffelrbin_nr]])</f>
        <v>6.2857142857142856</v>
      </c>
      <c r="AA6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62">
        <f>AVERAGE(Table1[[#This Row],[v2elsnlfc_nr]:[v2elsnmrfc_nr]])</f>
        <v>4</v>
      </c>
      <c r="AC62">
        <f>Table1[[#This Row],[v2el_avg]]-Table1[[#This Row],[v2elsn_avg]]</f>
        <v>2.2857142857142856</v>
      </c>
      <c r="AD62" s="4">
        <f>Table1[[#This Row],[v2el_avg2]]-Table1[[#This Row],[v2elsn_avg]]</f>
        <v>2.2000000000000002</v>
      </c>
      <c r="AE62" s="4">
        <f>MAX(Table1[[#This Row],[v2eldonate_nr]:[v2elsnmrfc_nr]])</f>
        <v>7</v>
      </c>
      <c r="AF62" s="4">
        <f>MAX(Table1[[#This Row],[v2elsnlfc_nr]:[v2elsnmrfc_nr]])</f>
        <v>4</v>
      </c>
    </row>
    <row r="63" spans="1:32" x14ac:dyDescent="0.35">
      <c r="A63" t="s">
        <v>4</v>
      </c>
      <c r="B63">
        <v>1961</v>
      </c>
      <c r="C63">
        <v>2</v>
      </c>
      <c r="D63">
        <v>3</v>
      </c>
      <c r="E63">
        <v>4</v>
      </c>
      <c r="F63">
        <v>3</v>
      </c>
      <c r="T63">
        <v>6</v>
      </c>
      <c r="U63">
        <v>7</v>
      </c>
      <c r="V63">
        <v>7</v>
      </c>
      <c r="W63">
        <v>7</v>
      </c>
      <c r="X63">
        <v>4</v>
      </c>
      <c r="Y63">
        <v>4</v>
      </c>
      <c r="Z63">
        <f>AVERAGE(Table1[[#This Row],[v2eldonate_nr]:[v2elffelrbin_nr]])</f>
        <v>4.875</v>
      </c>
      <c r="AA6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63">
        <f>AVERAGE(Table1[[#This Row],[v2elsnlfc_nr]:[v2elsnmrfc_nr]])</f>
        <v>4</v>
      </c>
      <c r="AC63">
        <f>Table1[[#This Row],[v2el_avg]]-Table1[[#This Row],[v2elsn_avg]]</f>
        <v>0.875</v>
      </c>
      <c r="AD63" s="4">
        <f>Table1[[#This Row],[v2el_avg2]]-Table1[[#This Row],[v2elsn_avg]]</f>
        <v>0.70000000000000018</v>
      </c>
      <c r="AE63" s="4">
        <f>MAX(Table1[[#This Row],[v2eldonate_nr]:[v2elsnmrfc_nr]])</f>
        <v>7</v>
      </c>
      <c r="AF63" s="4">
        <f>MAX(Table1[[#This Row],[v2elsnlfc_nr]:[v2elsnmrfc_nr]])</f>
        <v>4</v>
      </c>
    </row>
    <row r="64" spans="1:32" x14ac:dyDescent="0.35">
      <c r="A64" t="s">
        <v>4</v>
      </c>
      <c r="B64">
        <v>1962</v>
      </c>
      <c r="C64">
        <v>7</v>
      </c>
      <c r="D64">
        <v>7</v>
      </c>
      <c r="E64">
        <v>7</v>
      </c>
      <c r="F64">
        <v>6</v>
      </c>
      <c r="G64">
        <v>6</v>
      </c>
      <c r="H64">
        <v>6</v>
      </c>
      <c r="I64">
        <v>6</v>
      </c>
      <c r="J64">
        <v>7</v>
      </c>
      <c r="K64">
        <v>6</v>
      </c>
      <c r="L64">
        <v>6</v>
      </c>
      <c r="M64">
        <v>7</v>
      </c>
      <c r="N64">
        <v>5</v>
      </c>
      <c r="O64">
        <v>6</v>
      </c>
      <c r="P64">
        <v>5</v>
      </c>
      <c r="Q64">
        <v>7</v>
      </c>
      <c r="R64">
        <v>6</v>
      </c>
      <c r="S64">
        <v>6</v>
      </c>
      <c r="T64">
        <v>6</v>
      </c>
      <c r="U64">
        <v>7</v>
      </c>
      <c r="V64">
        <v>7</v>
      </c>
      <c r="W64">
        <v>7</v>
      </c>
      <c r="X64">
        <v>4</v>
      </c>
      <c r="Y64">
        <v>4</v>
      </c>
      <c r="Z64">
        <f>AVERAGE(Table1[[#This Row],[v2eldonate_nr]:[v2elffelrbin_nr]])</f>
        <v>6.333333333333333</v>
      </c>
      <c r="AA6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64">
        <f>AVERAGE(Table1[[#This Row],[v2elsnlfc_nr]:[v2elsnmrfc_nr]])</f>
        <v>4</v>
      </c>
      <c r="AC64">
        <f>Table1[[#This Row],[v2el_avg]]-Table1[[#This Row],[v2elsn_avg]]</f>
        <v>2.333333333333333</v>
      </c>
      <c r="AD64" s="4">
        <f>Table1[[#This Row],[v2el_avg2]]-Table1[[#This Row],[v2elsn_avg]]</f>
        <v>2.2000000000000002</v>
      </c>
      <c r="AE64" s="4">
        <f>MAX(Table1[[#This Row],[v2eldonate_nr]:[v2elsnmrfc_nr]])</f>
        <v>7</v>
      </c>
      <c r="AF64" s="4">
        <f>MAX(Table1[[#This Row],[v2elsnlfc_nr]:[v2elsnmrfc_nr]])</f>
        <v>4</v>
      </c>
    </row>
    <row r="65" spans="1:32" x14ac:dyDescent="0.35">
      <c r="A65" t="s">
        <v>4</v>
      </c>
      <c r="B65">
        <v>1963</v>
      </c>
      <c r="C65">
        <v>2</v>
      </c>
      <c r="D65">
        <v>3</v>
      </c>
      <c r="E65">
        <v>4</v>
      </c>
      <c r="F65">
        <v>3</v>
      </c>
      <c r="T65">
        <v>6</v>
      </c>
      <c r="U65">
        <v>7</v>
      </c>
      <c r="V65">
        <v>7</v>
      </c>
      <c r="W65">
        <v>7</v>
      </c>
      <c r="X65">
        <v>4</v>
      </c>
      <c r="Y65">
        <v>4</v>
      </c>
      <c r="Z65">
        <f>AVERAGE(Table1[[#This Row],[v2eldonate_nr]:[v2elffelrbin_nr]])</f>
        <v>4.875</v>
      </c>
      <c r="AA6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65">
        <f>AVERAGE(Table1[[#This Row],[v2elsnlfc_nr]:[v2elsnmrfc_nr]])</f>
        <v>4</v>
      </c>
      <c r="AC65">
        <f>Table1[[#This Row],[v2el_avg]]-Table1[[#This Row],[v2elsn_avg]]</f>
        <v>0.875</v>
      </c>
      <c r="AD65" s="4">
        <f>Table1[[#This Row],[v2el_avg2]]-Table1[[#This Row],[v2elsn_avg]]</f>
        <v>0.70000000000000018</v>
      </c>
      <c r="AE65" s="4">
        <f>MAX(Table1[[#This Row],[v2eldonate_nr]:[v2elsnmrfc_nr]])</f>
        <v>7</v>
      </c>
      <c r="AF65" s="4">
        <f>MAX(Table1[[#This Row],[v2elsnlfc_nr]:[v2elsnmrfc_nr]])</f>
        <v>4</v>
      </c>
    </row>
    <row r="66" spans="1:32" x14ac:dyDescent="0.35">
      <c r="A66" t="s">
        <v>4</v>
      </c>
      <c r="B66">
        <v>1964</v>
      </c>
      <c r="C66">
        <v>7</v>
      </c>
      <c r="D66">
        <v>7</v>
      </c>
      <c r="E66">
        <v>7</v>
      </c>
      <c r="F66">
        <v>6</v>
      </c>
      <c r="G66">
        <v>6</v>
      </c>
      <c r="H66">
        <v>6</v>
      </c>
      <c r="I66">
        <v>6</v>
      </c>
      <c r="J66">
        <v>7</v>
      </c>
      <c r="K66">
        <v>6</v>
      </c>
      <c r="L66">
        <v>6</v>
      </c>
      <c r="M66">
        <v>7</v>
      </c>
      <c r="N66">
        <v>5</v>
      </c>
      <c r="O66">
        <v>6</v>
      </c>
      <c r="P66">
        <v>4</v>
      </c>
      <c r="Q66">
        <v>7</v>
      </c>
      <c r="R66">
        <v>6</v>
      </c>
      <c r="S66">
        <v>6</v>
      </c>
      <c r="T66">
        <v>6</v>
      </c>
      <c r="U66">
        <v>7</v>
      </c>
      <c r="V66">
        <v>7</v>
      </c>
      <c r="W66">
        <v>7</v>
      </c>
      <c r="X66">
        <v>4</v>
      </c>
      <c r="Y66">
        <v>4</v>
      </c>
      <c r="Z66">
        <f>AVERAGE(Table1[[#This Row],[v2eldonate_nr]:[v2elffelrbin_nr]])</f>
        <v>6.2857142857142856</v>
      </c>
      <c r="AA6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66">
        <f>AVERAGE(Table1[[#This Row],[v2elsnlfc_nr]:[v2elsnmrfc_nr]])</f>
        <v>4</v>
      </c>
      <c r="AC66">
        <f>Table1[[#This Row],[v2el_avg]]-Table1[[#This Row],[v2elsn_avg]]</f>
        <v>2.2857142857142856</v>
      </c>
      <c r="AD66" s="4">
        <f>Table1[[#This Row],[v2el_avg2]]-Table1[[#This Row],[v2elsn_avg]]</f>
        <v>2.2000000000000002</v>
      </c>
      <c r="AE66" s="4">
        <f>MAX(Table1[[#This Row],[v2eldonate_nr]:[v2elsnmrfc_nr]])</f>
        <v>7</v>
      </c>
      <c r="AF66" s="4">
        <f>MAX(Table1[[#This Row],[v2elsnlfc_nr]:[v2elsnmrfc_nr]])</f>
        <v>4</v>
      </c>
    </row>
    <row r="67" spans="1:32" x14ac:dyDescent="0.35">
      <c r="A67" t="s">
        <v>4</v>
      </c>
      <c r="B67">
        <v>1965</v>
      </c>
      <c r="C67">
        <v>2</v>
      </c>
      <c r="D67">
        <v>3</v>
      </c>
      <c r="E67">
        <v>4</v>
      </c>
      <c r="F67">
        <v>3</v>
      </c>
      <c r="T67">
        <v>6</v>
      </c>
      <c r="U67">
        <v>7</v>
      </c>
      <c r="V67">
        <v>7</v>
      </c>
      <c r="W67">
        <v>7</v>
      </c>
      <c r="X67">
        <v>4</v>
      </c>
      <c r="Y67">
        <v>4</v>
      </c>
      <c r="Z67">
        <f>AVERAGE(Table1[[#This Row],[v2eldonate_nr]:[v2elffelrbin_nr]])</f>
        <v>4.875</v>
      </c>
      <c r="AA6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67">
        <f>AVERAGE(Table1[[#This Row],[v2elsnlfc_nr]:[v2elsnmrfc_nr]])</f>
        <v>4</v>
      </c>
      <c r="AC67">
        <f>Table1[[#This Row],[v2el_avg]]-Table1[[#This Row],[v2elsn_avg]]</f>
        <v>0.875</v>
      </c>
      <c r="AD67" s="4">
        <f>Table1[[#This Row],[v2el_avg2]]-Table1[[#This Row],[v2elsn_avg]]</f>
        <v>0.70000000000000018</v>
      </c>
      <c r="AE67" s="4">
        <f>MAX(Table1[[#This Row],[v2eldonate_nr]:[v2elsnmrfc_nr]])</f>
        <v>7</v>
      </c>
      <c r="AF67" s="4">
        <f>MAX(Table1[[#This Row],[v2elsnlfc_nr]:[v2elsnmrfc_nr]])</f>
        <v>4</v>
      </c>
    </row>
    <row r="68" spans="1:32" x14ac:dyDescent="0.35">
      <c r="A68" t="s">
        <v>4</v>
      </c>
      <c r="B68">
        <v>1966</v>
      </c>
      <c r="C68">
        <v>7</v>
      </c>
      <c r="D68">
        <v>7</v>
      </c>
      <c r="E68">
        <v>7</v>
      </c>
      <c r="F68">
        <v>6</v>
      </c>
      <c r="G68">
        <v>6</v>
      </c>
      <c r="H68">
        <v>6</v>
      </c>
      <c r="I68">
        <v>7</v>
      </c>
      <c r="J68">
        <v>7</v>
      </c>
      <c r="K68">
        <v>6</v>
      </c>
      <c r="L68">
        <v>6</v>
      </c>
      <c r="M68">
        <v>6</v>
      </c>
      <c r="N68">
        <v>5</v>
      </c>
      <c r="O68">
        <v>6</v>
      </c>
      <c r="P68">
        <v>5</v>
      </c>
      <c r="Q68">
        <v>7</v>
      </c>
      <c r="R68">
        <v>6</v>
      </c>
      <c r="S68">
        <v>6</v>
      </c>
      <c r="T68">
        <v>6</v>
      </c>
      <c r="U68">
        <v>7</v>
      </c>
      <c r="V68">
        <v>7</v>
      </c>
      <c r="W68">
        <v>7</v>
      </c>
      <c r="X68">
        <v>4</v>
      </c>
      <c r="Y68">
        <v>4</v>
      </c>
      <c r="Z68">
        <f>AVERAGE(Table1[[#This Row],[v2eldonate_nr]:[v2elffelrbin_nr]])</f>
        <v>6.333333333333333</v>
      </c>
      <c r="AA6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68">
        <f>AVERAGE(Table1[[#This Row],[v2elsnlfc_nr]:[v2elsnmrfc_nr]])</f>
        <v>4</v>
      </c>
      <c r="AC68">
        <f>Table1[[#This Row],[v2el_avg]]-Table1[[#This Row],[v2elsn_avg]]</f>
        <v>2.333333333333333</v>
      </c>
      <c r="AD68" s="4">
        <f>Table1[[#This Row],[v2el_avg2]]-Table1[[#This Row],[v2elsn_avg]]</f>
        <v>2.2000000000000002</v>
      </c>
      <c r="AE68" s="4">
        <f>MAX(Table1[[#This Row],[v2eldonate_nr]:[v2elsnmrfc_nr]])</f>
        <v>7</v>
      </c>
      <c r="AF68" s="4">
        <f>MAX(Table1[[#This Row],[v2elsnlfc_nr]:[v2elsnmrfc_nr]])</f>
        <v>4</v>
      </c>
    </row>
    <row r="69" spans="1:32" x14ac:dyDescent="0.35">
      <c r="A69" t="s">
        <v>4</v>
      </c>
      <c r="B69">
        <v>1967</v>
      </c>
      <c r="C69">
        <v>2</v>
      </c>
      <c r="D69">
        <v>3</v>
      </c>
      <c r="E69">
        <v>4</v>
      </c>
      <c r="F69">
        <v>3</v>
      </c>
      <c r="T69">
        <v>6</v>
      </c>
      <c r="U69">
        <v>7</v>
      </c>
      <c r="V69">
        <v>7</v>
      </c>
      <c r="W69">
        <v>7</v>
      </c>
      <c r="X69">
        <v>4</v>
      </c>
      <c r="Y69">
        <v>4</v>
      </c>
      <c r="Z69">
        <f>AVERAGE(Table1[[#This Row],[v2eldonate_nr]:[v2elffelrbin_nr]])</f>
        <v>4.875</v>
      </c>
      <c r="AA6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69">
        <f>AVERAGE(Table1[[#This Row],[v2elsnlfc_nr]:[v2elsnmrfc_nr]])</f>
        <v>4</v>
      </c>
      <c r="AC69">
        <f>Table1[[#This Row],[v2el_avg]]-Table1[[#This Row],[v2elsn_avg]]</f>
        <v>0.875</v>
      </c>
      <c r="AD69" s="4">
        <f>Table1[[#This Row],[v2el_avg2]]-Table1[[#This Row],[v2elsn_avg]]</f>
        <v>0.70000000000000018</v>
      </c>
      <c r="AE69" s="4">
        <f>MAX(Table1[[#This Row],[v2eldonate_nr]:[v2elsnmrfc_nr]])</f>
        <v>7</v>
      </c>
      <c r="AF69" s="4">
        <f>MAX(Table1[[#This Row],[v2elsnlfc_nr]:[v2elsnmrfc_nr]])</f>
        <v>4</v>
      </c>
    </row>
    <row r="70" spans="1:32" x14ac:dyDescent="0.35">
      <c r="A70" t="s">
        <v>4</v>
      </c>
      <c r="B70">
        <v>1968</v>
      </c>
      <c r="C70">
        <v>7</v>
      </c>
      <c r="D70">
        <v>7</v>
      </c>
      <c r="E70">
        <v>7</v>
      </c>
      <c r="F70">
        <v>6</v>
      </c>
      <c r="G70">
        <v>6</v>
      </c>
      <c r="H70">
        <v>6</v>
      </c>
      <c r="I70">
        <v>7</v>
      </c>
      <c r="J70">
        <v>7</v>
      </c>
      <c r="K70">
        <v>6</v>
      </c>
      <c r="L70">
        <v>6</v>
      </c>
      <c r="M70">
        <v>7</v>
      </c>
      <c r="N70">
        <v>5</v>
      </c>
      <c r="O70">
        <v>6</v>
      </c>
      <c r="P70">
        <v>4</v>
      </c>
      <c r="Q70">
        <v>7</v>
      </c>
      <c r="R70">
        <v>6</v>
      </c>
      <c r="S70">
        <v>6</v>
      </c>
      <c r="T70">
        <v>6</v>
      </c>
      <c r="U70">
        <v>7</v>
      </c>
      <c r="V70">
        <v>7</v>
      </c>
      <c r="W70">
        <v>7</v>
      </c>
      <c r="X70">
        <v>4</v>
      </c>
      <c r="Y70">
        <v>4</v>
      </c>
      <c r="Z70">
        <f>AVERAGE(Table1[[#This Row],[v2eldonate_nr]:[v2elffelrbin_nr]])</f>
        <v>6.333333333333333</v>
      </c>
      <c r="AA7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70">
        <f>AVERAGE(Table1[[#This Row],[v2elsnlfc_nr]:[v2elsnmrfc_nr]])</f>
        <v>4</v>
      </c>
      <c r="AC70">
        <f>Table1[[#This Row],[v2el_avg]]-Table1[[#This Row],[v2elsn_avg]]</f>
        <v>2.333333333333333</v>
      </c>
      <c r="AD70" s="4">
        <f>Table1[[#This Row],[v2el_avg2]]-Table1[[#This Row],[v2elsn_avg]]</f>
        <v>2.2000000000000002</v>
      </c>
      <c r="AE70" s="4">
        <f>MAX(Table1[[#This Row],[v2eldonate_nr]:[v2elsnmrfc_nr]])</f>
        <v>7</v>
      </c>
      <c r="AF70" s="4">
        <f>MAX(Table1[[#This Row],[v2elsnlfc_nr]:[v2elsnmrfc_nr]])</f>
        <v>4</v>
      </c>
    </row>
    <row r="71" spans="1:32" x14ac:dyDescent="0.35">
      <c r="A71" t="s">
        <v>4</v>
      </c>
      <c r="B71">
        <v>1969</v>
      </c>
      <c r="C71">
        <v>2</v>
      </c>
      <c r="D71">
        <v>3</v>
      </c>
      <c r="E71">
        <v>4</v>
      </c>
      <c r="F71">
        <v>3</v>
      </c>
      <c r="T71">
        <v>6</v>
      </c>
      <c r="U71">
        <v>7</v>
      </c>
      <c r="V71">
        <v>6</v>
      </c>
      <c r="W71">
        <v>7</v>
      </c>
      <c r="X71">
        <v>3</v>
      </c>
      <c r="Y71">
        <v>3</v>
      </c>
      <c r="Z71">
        <f>AVERAGE(Table1[[#This Row],[v2eldonate_nr]:[v2elffelrbin_nr]])</f>
        <v>4.75</v>
      </c>
      <c r="AA7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1">
        <f>AVERAGE(Table1[[#This Row],[v2elsnlfc_nr]:[v2elsnmrfc_nr]])</f>
        <v>3</v>
      </c>
      <c r="AC71">
        <f>Table1[[#This Row],[v2el_avg]]-Table1[[#This Row],[v2elsn_avg]]</f>
        <v>1.75</v>
      </c>
      <c r="AD71" s="4">
        <f>Table1[[#This Row],[v2el_avg2]]-Table1[[#This Row],[v2elsn_avg]]</f>
        <v>1.4000000000000004</v>
      </c>
      <c r="AE71" s="4">
        <f>MAX(Table1[[#This Row],[v2eldonate_nr]:[v2elsnmrfc_nr]])</f>
        <v>7</v>
      </c>
      <c r="AF71" s="4">
        <f>MAX(Table1[[#This Row],[v2elsnlfc_nr]:[v2elsnmrfc_nr]])</f>
        <v>3</v>
      </c>
    </row>
    <row r="72" spans="1:32" x14ac:dyDescent="0.35">
      <c r="A72" t="s">
        <v>4</v>
      </c>
      <c r="B72">
        <v>1970</v>
      </c>
      <c r="C72">
        <v>7</v>
      </c>
      <c r="D72">
        <v>7</v>
      </c>
      <c r="E72">
        <v>7</v>
      </c>
      <c r="F72">
        <v>6</v>
      </c>
      <c r="G72">
        <v>6</v>
      </c>
      <c r="H72">
        <v>6</v>
      </c>
      <c r="I72">
        <v>7</v>
      </c>
      <c r="J72">
        <v>7</v>
      </c>
      <c r="K72">
        <v>6</v>
      </c>
      <c r="L72">
        <v>6</v>
      </c>
      <c r="M72">
        <v>7</v>
      </c>
      <c r="N72">
        <v>5</v>
      </c>
      <c r="O72">
        <v>6</v>
      </c>
      <c r="P72">
        <v>4</v>
      </c>
      <c r="Q72">
        <v>6</v>
      </c>
      <c r="R72">
        <v>6</v>
      </c>
      <c r="S72">
        <v>6</v>
      </c>
      <c r="T72">
        <v>6</v>
      </c>
      <c r="U72">
        <v>7</v>
      </c>
      <c r="V72">
        <v>7</v>
      </c>
      <c r="W72">
        <v>7</v>
      </c>
      <c r="X72">
        <v>4</v>
      </c>
      <c r="Y72">
        <v>4</v>
      </c>
      <c r="Z72">
        <f>AVERAGE(Table1[[#This Row],[v2eldonate_nr]:[v2elffelrbin_nr]])</f>
        <v>6.2857142857142856</v>
      </c>
      <c r="AA7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72">
        <f>AVERAGE(Table1[[#This Row],[v2elsnlfc_nr]:[v2elsnmrfc_nr]])</f>
        <v>4</v>
      </c>
      <c r="AC72">
        <f>Table1[[#This Row],[v2el_avg]]-Table1[[#This Row],[v2elsn_avg]]</f>
        <v>2.2857142857142856</v>
      </c>
      <c r="AD72" s="4">
        <f>Table1[[#This Row],[v2el_avg2]]-Table1[[#This Row],[v2elsn_avg]]</f>
        <v>2.2000000000000002</v>
      </c>
      <c r="AE72" s="4">
        <f>MAX(Table1[[#This Row],[v2eldonate_nr]:[v2elsnmrfc_nr]])</f>
        <v>7</v>
      </c>
      <c r="AF72" s="4">
        <f>MAX(Table1[[#This Row],[v2elsnlfc_nr]:[v2elsnmrfc_nr]])</f>
        <v>4</v>
      </c>
    </row>
    <row r="73" spans="1:32" x14ac:dyDescent="0.35">
      <c r="A73" t="s">
        <v>4</v>
      </c>
      <c r="B73">
        <v>1971</v>
      </c>
      <c r="C73">
        <v>2</v>
      </c>
      <c r="D73">
        <v>3</v>
      </c>
      <c r="E73">
        <v>4</v>
      </c>
      <c r="F73">
        <v>3</v>
      </c>
      <c r="T73">
        <v>6</v>
      </c>
      <c r="U73">
        <v>7</v>
      </c>
      <c r="V73">
        <v>6</v>
      </c>
      <c r="W73">
        <v>7</v>
      </c>
      <c r="X73">
        <v>3</v>
      </c>
      <c r="Y73">
        <v>3</v>
      </c>
      <c r="Z73">
        <f>AVERAGE(Table1[[#This Row],[v2eldonate_nr]:[v2elffelrbin_nr]])</f>
        <v>4.75</v>
      </c>
      <c r="AA7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3">
        <f>AVERAGE(Table1[[#This Row],[v2elsnlfc_nr]:[v2elsnmrfc_nr]])</f>
        <v>3</v>
      </c>
      <c r="AC73">
        <f>Table1[[#This Row],[v2el_avg]]-Table1[[#This Row],[v2elsn_avg]]</f>
        <v>1.75</v>
      </c>
      <c r="AD73" s="4">
        <f>Table1[[#This Row],[v2el_avg2]]-Table1[[#This Row],[v2elsn_avg]]</f>
        <v>1.4000000000000004</v>
      </c>
      <c r="AE73" s="4">
        <f>MAX(Table1[[#This Row],[v2eldonate_nr]:[v2elsnmrfc_nr]])</f>
        <v>7</v>
      </c>
      <c r="AF73" s="4">
        <f>MAX(Table1[[#This Row],[v2elsnlfc_nr]:[v2elsnmrfc_nr]])</f>
        <v>3</v>
      </c>
    </row>
    <row r="74" spans="1:32" x14ac:dyDescent="0.35">
      <c r="A74" t="s">
        <v>4</v>
      </c>
      <c r="B74">
        <v>1972</v>
      </c>
      <c r="C74">
        <v>2</v>
      </c>
      <c r="D74">
        <v>3</v>
      </c>
      <c r="E74">
        <v>4</v>
      </c>
      <c r="F74">
        <v>3</v>
      </c>
      <c r="T74">
        <v>6</v>
      </c>
      <c r="U74">
        <v>7</v>
      </c>
      <c r="V74">
        <v>6</v>
      </c>
      <c r="W74">
        <v>7</v>
      </c>
      <c r="X74">
        <v>3</v>
      </c>
      <c r="Y74">
        <v>3</v>
      </c>
      <c r="Z74">
        <f>AVERAGE(Table1[[#This Row],[v2eldonate_nr]:[v2elffelrbin_nr]])</f>
        <v>4.75</v>
      </c>
      <c r="AA7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4">
        <f>AVERAGE(Table1[[#This Row],[v2elsnlfc_nr]:[v2elsnmrfc_nr]])</f>
        <v>3</v>
      </c>
      <c r="AC74">
        <f>Table1[[#This Row],[v2el_avg]]-Table1[[#This Row],[v2elsn_avg]]</f>
        <v>1.75</v>
      </c>
      <c r="AD74" s="4">
        <f>Table1[[#This Row],[v2el_avg2]]-Table1[[#This Row],[v2elsn_avg]]</f>
        <v>1.4000000000000004</v>
      </c>
      <c r="AE74" s="4">
        <f>MAX(Table1[[#This Row],[v2eldonate_nr]:[v2elsnmrfc_nr]])</f>
        <v>7</v>
      </c>
      <c r="AF74" s="4">
        <f>MAX(Table1[[#This Row],[v2elsnlfc_nr]:[v2elsnmrfc_nr]])</f>
        <v>3</v>
      </c>
    </row>
    <row r="75" spans="1:32" x14ac:dyDescent="0.35">
      <c r="A75" t="s">
        <v>4</v>
      </c>
      <c r="B75">
        <v>1973</v>
      </c>
      <c r="C75">
        <v>2</v>
      </c>
      <c r="D75">
        <v>3</v>
      </c>
      <c r="E75">
        <v>4</v>
      </c>
      <c r="F75">
        <v>3</v>
      </c>
      <c r="T75">
        <v>6</v>
      </c>
      <c r="U75">
        <v>7</v>
      </c>
      <c r="V75">
        <v>6</v>
      </c>
      <c r="W75">
        <v>7</v>
      </c>
      <c r="X75">
        <v>3</v>
      </c>
      <c r="Y75">
        <v>3</v>
      </c>
      <c r="Z75">
        <f>AVERAGE(Table1[[#This Row],[v2eldonate_nr]:[v2elffelrbin_nr]])</f>
        <v>4.75</v>
      </c>
      <c r="AA7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5">
        <f>AVERAGE(Table1[[#This Row],[v2elsnlfc_nr]:[v2elsnmrfc_nr]])</f>
        <v>3</v>
      </c>
      <c r="AC75">
        <f>Table1[[#This Row],[v2el_avg]]-Table1[[#This Row],[v2elsn_avg]]</f>
        <v>1.75</v>
      </c>
      <c r="AD75" s="4">
        <f>Table1[[#This Row],[v2el_avg2]]-Table1[[#This Row],[v2elsn_avg]]</f>
        <v>1.4000000000000004</v>
      </c>
      <c r="AE75" s="4">
        <f>MAX(Table1[[#This Row],[v2eldonate_nr]:[v2elsnmrfc_nr]])</f>
        <v>7</v>
      </c>
      <c r="AF75" s="4">
        <f>MAX(Table1[[#This Row],[v2elsnlfc_nr]:[v2elsnmrfc_nr]])</f>
        <v>3</v>
      </c>
    </row>
    <row r="76" spans="1:32" x14ac:dyDescent="0.35">
      <c r="A76" t="s">
        <v>4</v>
      </c>
      <c r="B76">
        <v>1974</v>
      </c>
      <c r="C76">
        <v>7</v>
      </c>
      <c r="D76">
        <v>7</v>
      </c>
      <c r="E76">
        <v>7</v>
      </c>
      <c r="F76">
        <v>6</v>
      </c>
      <c r="G76">
        <v>6</v>
      </c>
      <c r="H76">
        <v>6</v>
      </c>
      <c r="I76">
        <v>7</v>
      </c>
      <c r="J76">
        <v>7</v>
      </c>
      <c r="K76">
        <v>6</v>
      </c>
      <c r="L76">
        <v>6</v>
      </c>
      <c r="M76">
        <v>7</v>
      </c>
      <c r="N76">
        <v>6</v>
      </c>
      <c r="O76">
        <v>6</v>
      </c>
      <c r="P76">
        <v>4</v>
      </c>
      <c r="Q76">
        <v>7</v>
      </c>
      <c r="R76">
        <v>6</v>
      </c>
      <c r="S76">
        <v>6</v>
      </c>
      <c r="T76">
        <v>6</v>
      </c>
      <c r="U76">
        <v>7</v>
      </c>
      <c r="V76">
        <v>7</v>
      </c>
      <c r="W76">
        <v>7</v>
      </c>
      <c r="X76">
        <v>4</v>
      </c>
      <c r="Y76">
        <v>4</v>
      </c>
      <c r="Z76">
        <f>AVERAGE(Table1[[#This Row],[v2eldonate_nr]:[v2elffelrbin_nr]])</f>
        <v>6.3809523809523814</v>
      </c>
      <c r="AA7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76">
        <f>AVERAGE(Table1[[#This Row],[v2elsnlfc_nr]:[v2elsnmrfc_nr]])</f>
        <v>4</v>
      </c>
      <c r="AC76">
        <f>Table1[[#This Row],[v2el_avg]]-Table1[[#This Row],[v2elsn_avg]]</f>
        <v>2.3809523809523814</v>
      </c>
      <c r="AD76" s="4">
        <f>Table1[[#This Row],[v2el_avg2]]-Table1[[#This Row],[v2elsn_avg]]</f>
        <v>2.2000000000000002</v>
      </c>
      <c r="AE76" s="4">
        <f>MAX(Table1[[#This Row],[v2eldonate_nr]:[v2elsnmrfc_nr]])</f>
        <v>7</v>
      </c>
      <c r="AF76" s="4">
        <f>MAX(Table1[[#This Row],[v2elsnlfc_nr]:[v2elsnmrfc_nr]])</f>
        <v>4</v>
      </c>
    </row>
    <row r="77" spans="1:32" x14ac:dyDescent="0.35">
      <c r="A77" t="s">
        <v>4</v>
      </c>
      <c r="B77">
        <v>1975</v>
      </c>
      <c r="C77">
        <v>2</v>
      </c>
      <c r="D77">
        <v>3</v>
      </c>
      <c r="E77">
        <v>4</v>
      </c>
      <c r="F77">
        <v>3</v>
      </c>
      <c r="T77">
        <v>6</v>
      </c>
      <c r="U77">
        <v>7</v>
      </c>
      <c r="V77">
        <v>6</v>
      </c>
      <c r="W77">
        <v>7</v>
      </c>
      <c r="X77">
        <v>3</v>
      </c>
      <c r="Y77">
        <v>3</v>
      </c>
      <c r="Z77">
        <f>AVERAGE(Table1[[#This Row],[v2eldonate_nr]:[v2elffelrbin_nr]])</f>
        <v>4.75</v>
      </c>
      <c r="AA7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7">
        <f>AVERAGE(Table1[[#This Row],[v2elsnlfc_nr]:[v2elsnmrfc_nr]])</f>
        <v>3</v>
      </c>
      <c r="AC77">
        <f>Table1[[#This Row],[v2el_avg]]-Table1[[#This Row],[v2elsn_avg]]</f>
        <v>1.75</v>
      </c>
      <c r="AD77" s="4">
        <f>Table1[[#This Row],[v2el_avg2]]-Table1[[#This Row],[v2elsn_avg]]</f>
        <v>1.4000000000000004</v>
      </c>
      <c r="AE77" s="4">
        <f>MAX(Table1[[#This Row],[v2eldonate_nr]:[v2elsnmrfc_nr]])</f>
        <v>7</v>
      </c>
      <c r="AF77" s="4">
        <f>MAX(Table1[[#This Row],[v2elsnlfc_nr]:[v2elsnmrfc_nr]])</f>
        <v>3</v>
      </c>
    </row>
    <row r="78" spans="1:32" x14ac:dyDescent="0.35">
      <c r="A78" t="s">
        <v>4</v>
      </c>
      <c r="B78">
        <v>1976</v>
      </c>
      <c r="C78">
        <v>2</v>
      </c>
      <c r="D78">
        <v>3</v>
      </c>
      <c r="E78">
        <v>4</v>
      </c>
      <c r="F78">
        <v>3</v>
      </c>
      <c r="T78">
        <v>6</v>
      </c>
      <c r="U78">
        <v>7</v>
      </c>
      <c r="V78">
        <v>6</v>
      </c>
      <c r="W78">
        <v>7</v>
      </c>
      <c r="X78">
        <v>3</v>
      </c>
      <c r="Y78">
        <v>3</v>
      </c>
      <c r="Z78">
        <f>AVERAGE(Table1[[#This Row],[v2eldonate_nr]:[v2elffelrbin_nr]])</f>
        <v>4.75</v>
      </c>
      <c r="AA7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8">
        <f>AVERAGE(Table1[[#This Row],[v2elsnlfc_nr]:[v2elsnmrfc_nr]])</f>
        <v>3</v>
      </c>
      <c r="AC78">
        <f>Table1[[#This Row],[v2el_avg]]-Table1[[#This Row],[v2elsn_avg]]</f>
        <v>1.75</v>
      </c>
      <c r="AD78" s="4">
        <f>Table1[[#This Row],[v2el_avg2]]-Table1[[#This Row],[v2elsn_avg]]</f>
        <v>1.4000000000000004</v>
      </c>
      <c r="AE78" s="4">
        <f>MAX(Table1[[#This Row],[v2eldonate_nr]:[v2elsnmrfc_nr]])</f>
        <v>7</v>
      </c>
      <c r="AF78" s="4">
        <f>MAX(Table1[[#This Row],[v2elsnlfc_nr]:[v2elsnmrfc_nr]])</f>
        <v>3</v>
      </c>
    </row>
    <row r="79" spans="1:32" x14ac:dyDescent="0.35">
      <c r="A79" t="s">
        <v>4</v>
      </c>
      <c r="B79">
        <v>1977</v>
      </c>
      <c r="C79">
        <v>2</v>
      </c>
      <c r="D79">
        <v>3</v>
      </c>
      <c r="E79">
        <v>4</v>
      </c>
      <c r="F79">
        <v>3</v>
      </c>
      <c r="T79">
        <v>6</v>
      </c>
      <c r="U79">
        <v>7</v>
      </c>
      <c r="V79">
        <v>6</v>
      </c>
      <c r="W79">
        <v>7</v>
      </c>
      <c r="X79">
        <v>3</v>
      </c>
      <c r="Y79">
        <v>3</v>
      </c>
      <c r="Z79">
        <f>AVERAGE(Table1[[#This Row],[v2eldonate_nr]:[v2elffelrbin_nr]])</f>
        <v>4.75</v>
      </c>
      <c r="AA7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79">
        <f>AVERAGE(Table1[[#This Row],[v2elsnlfc_nr]:[v2elsnmrfc_nr]])</f>
        <v>3</v>
      </c>
      <c r="AC79">
        <f>Table1[[#This Row],[v2el_avg]]-Table1[[#This Row],[v2elsn_avg]]</f>
        <v>1.75</v>
      </c>
      <c r="AD79" s="4">
        <f>Table1[[#This Row],[v2el_avg2]]-Table1[[#This Row],[v2elsn_avg]]</f>
        <v>1.4000000000000004</v>
      </c>
      <c r="AE79" s="4">
        <f>MAX(Table1[[#This Row],[v2eldonate_nr]:[v2elsnmrfc_nr]])</f>
        <v>7</v>
      </c>
      <c r="AF79" s="4">
        <f>MAX(Table1[[#This Row],[v2elsnlfc_nr]:[v2elsnmrfc_nr]])</f>
        <v>3</v>
      </c>
    </row>
    <row r="80" spans="1:32" x14ac:dyDescent="0.35">
      <c r="A80" t="s">
        <v>4</v>
      </c>
      <c r="B80">
        <v>1978</v>
      </c>
      <c r="C80">
        <v>7</v>
      </c>
      <c r="D80">
        <v>7</v>
      </c>
      <c r="E80">
        <v>7</v>
      </c>
      <c r="F80">
        <v>6</v>
      </c>
      <c r="G80">
        <v>6</v>
      </c>
      <c r="H80">
        <v>6</v>
      </c>
      <c r="I80">
        <v>7</v>
      </c>
      <c r="J80">
        <v>7</v>
      </c>
      <c r="K80">
        <v>6</v>
      </c>
      <c r="L80">
        <v>6</v>
      </c>
      <c r="M80">
        <v>7</v>
      </c>
      <c r="N80">
        <v>6</v>
      </c>
      <c r="O80">
        <v>6</v>
      </c>
      <c r="P80">
        <v>5</v>
      </c>
      <c r="Q80">
        <v>7</v>
      </c>
      <c r="R80">
        <v>6</v>
      </c>
      <c r="S80">
        <v>6</v>
      </c>
      <c r="T80">
        <v>6</v>
      </c>
      <c r="U80">
        <v>7</v>
      </c>
      <c r="V80">
        <v>7</v>
      </c>
      <c r="W80">
        <v>7</v>
      </c>
      <c r="X80">
        <v>4</v>
      </c>
      <c r="Y80">
        <v>4</v>
      </c>
      <c r="Z80">
        <f>AVERAGE(Table1[[#This Row],[v2eldonate_nr]:[v2elffelrbin_nr]])</f>
        <v>6.4285714285714288</v>
      </c>
      <c r="AA8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80">
        <f>AVERAGE(Table1[[#This Row],[v2elsnlfc_nr]:[v2elsnmrfc_nr]])</f>
        <v>4</v>
      </c>
      <c r="AC80">
        <f>Table1[[#This Row],[v2el_avg]]-Table1[[#This Row],[v2elsn_avg]]</f>
        <v>2.4285714285714288</v>
      </c>
      <c r="AD80" s="4">
        <f>Table1[[#This Row],[v2el_avg2]]-Table1[[#This Row],[v2elsn_avg]]</f>
        <v>2.2000000000000002</v>
      </c>
      <c r="AE80" s="4">
        <f>MAX(Table1[[#This Row],[v2eldonate_nr]:[v2elsnmrfc_nr]])</f>
        <v>7</v>
      </c>
      <c r="AF80" s="4">
        <f>MAX(Table1[[#This Row],[v2elsnlfc_nr]:[v2elsnmrfc_nr]])</f>
        <v>4</v>
      </c>
    </row>
    <row r="81" spans="1:32" x14ac:dyDescent="0.35">
      <c r="A81" t="s">
        <v>4</v>
      </c>
      <c r="B81">
        <v>1979</v>
      </c>
      <c r="C81">
        <v>2</v>
      </c>
      <c r="D81">
        <v>3</v>
      </c>
      <c r="E81">
        <v>4</v>
      </c>
      <c r="F81">
        <v>3</v>
      </c>
      <c r="T81">
        <v>6</v>
      </c>
      <c r="U81">
        <v>7</v>
      </c>
      <c r="V81">
        <v>6</v>
      </c>
      <c r="W81">
        <v>7</v>
      </c>
      <c r="X81">
        <v>3</v>
      </c>
      <c r="Y81">
        <v>3</v>
      </c>
      <c r="Z81">
        <f>AVERAGE(Table1[[#This Row],[v2eldonate_nr]:[v2elffelrbin_nr]])</f>
        <v>4.75</v>
      </c>
      <c r="AA8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1">
        <f>AVERAGE(Table1[[#This Row],[v2elsnlfc_nr]:[v2elsnmrfc_nr]])</f>
        <v>3</v>
      </c>
      <c r="AC81">
        <f>Table1[[#This Row],[v2el_avg]]-Table1[[#This Row],[v2elsn_avg]]</f>
        <v>1.75</v>
      </c>
      <c r="AD81" s="4">
        <f>Table1[[#This Row],[v2el_avg2]]-Table1[[#This Row],[v2elsn_avg]]</f>
        <v>1.4000000000000004</v>
      </c>
      <c r="AE81" s="4">
        <f>MAX(Table1[[#This Row],[v2eldonate_nr]:[v2elsnmrfc_nr]])</f>
        <v>7</v>
      </c>
      <c r="AF81" s="4">
        <f>MAX(Table1[[#This Row],[v2elsnlfc_nr]:[v2elsnmrfc_nr]])</f>
        <v>3</v>
      </c>
    </row>
    <row r="82" spans="1:32" x14ac:dyDescent="0.35">
      <c r="A82" t="s">
        <v>4</v>
      </c>
      <c r="B82">
        <v>1980</v>
      </c>
      <c r="C82">
        <v>2</v>
      </c>
      <c r="D82">
        <v>3</v>
      </c>
      <c r="E82">
        <v>4</v>
      </c>
      <c r="F82">
        <v>3</v>
      </c>
      <c r="T82">
        <v>6</v>
      </c>
      <c r="U82">
        <v>7</v>
      </c>
      <c r="V82">
        <v>6</v>
      </c>
      <c r="W82">
        <v>7</v>
      </c>
      <c r="X82">
        <v>3</v>
      </c>
      <c r="Y82">
        <v>3</v>
      </c>
      <c r="Z82">
        <f>AVERAGE(Table1[[#This Row],[v2eldonate_nr]:[v2elffelrbin_nr]])</f>
        <v>4.75</v>
      </c>
      <c r="AA8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2">
        <f>AVERAGE(Table1[[#This Row],[v2elsnlfc_nr]:[v2elsnmrfc_nr]])</f>
        <v>3</v>
      </c>
      <c r="AC82">
        <f>Table1[[#This Row],[v2el_avg]]-Table1[[#This Row],[v2elsn_avg]]</f>
        <v>1.75</v>
      </c>
      <c r="AD82" s="4">
        <f>Table1[[#This Row],[v2el_avg2]]-Table1[[#This Row],[v2elsn_avg]]</f>
        <v>1.4000000000000004</v>
      </c>
      <c r="AE82" s="4">
        <f>MAX(Table1[[#This Row],[v2eldonate_nr]:[v2elsnmrfc_nr]])</f>
        <v>7</v>
      </c>
      <c r="AF82" s="4">
        <f>MAX(Table1[[#This Row],[v2elsnlfc_nr]:[v2elsnmrfc_nr]])</f>
        <v>3</v>
      </c>
    </row>
    <row r="83" spans="1:32" x14ac:dyDescent="0.35">
      <c r="A83" t="s">
        <v>4</v>
      </c>
      <c r="B83">
        <v>1981</v>
      </c>
      <c r="C83">
        <v>2</v>
      </c>
      <c r="D83">
        <v>3</v>
      </c>
      <c r="E83">
        <v>4</v>
      </c>
      <c r="F83">
        <v>3</v>
      </c>
      <c r="T83">
        <v>6</v>
      </c>
      <c r="U83">
        <v>7</v>
      </c>
      <c r="V83">
        <v>6</v>
      </c>
      <c r="W83">
        <v>7</v>
      </c>
      <c r="X83">
        <v>3</v>
      </c>
      <c r="Y83">
        <v>3</v>
      </c>
      <c r="Z83">
        <f>AVERAGE(Table1[[#This Row],[v2eldonate_nr]:[v2elffelrbin_nr]])</f>
        <v>4.75</v>
      </c>
      <c r="AA8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3">
        <f>AVERAGE(Table1[[#This Row],[v2elsnlfc_nr]:[v2elsnmrfc_nr]])</f>
        <v>3</v>
      </c>
      <c r="AC83">
        <f>Table1[[#This Row],[v2el_avg]]-Table1[[#This Row],[v2elsn_avg]]</f>
        <v>1.75</v>
      </c>
      <c r="AD83" s="4">
        <f>Table1[[#This Row],[v2el_avg2]]-Table1[[#This Row],[v2elsn_avg]]</f>
        <v>1.4000000000000004</v>
      </c>
      <c r="AE83" s="4">
        <f>MAX(Table1[[#This Row],[v2eldonate_nr]:[v2elsnmrfc_nr]])</f>
        <v>7</v>
      </c>
      <c r="AF83" s="4">
        <f>MAX(Table1[[#This Row],[v2elsnlfc_nr]:[v2elsnmrfc_nr]])</f>
        <v>3</v>
      </c>
    </row>
    <row r="84" spans="1:32" x14ac:dyDescent="0.35">
      <c r="A84" t="s">
        <v>4</v>
      </c>
      <c r="B84">
        <v>1982</v>
      </c>
      <c r="C84">
        <v>7</v>
      </c>
      <c r="D84">
        <v>7</v>
      </c>
      <c r="E84">
        <v>7</v>
      </c>
      <c r="F84">
        <v>6</v>
      </c>
      <c r="G84">
        <v>6</v>
      </c>
      <c r="H84">
        <v>6</v>
      </c>
      <c r="I84">
        <v>7</v>
      </c>
      <c r="J84">
        <v>7</v>
      </c>
      <c r="K84">
        <v>6</v>
      </c>
      <c r="L84">
        <v>6</v>
      </c>
      <c r="M84">
        <v>7</v>
      </c>
      <c r="N84">
        <v>6</v>
      </c>
      <c r="O84">
        <v>6</v>
      </c>
      <c r="P84">
        <v>5</v>
      </c>
      <c r="Q84">
        <v>7</v>
      </c>
      <c r="R84">
        <v>6</v>
      </c>
      <c r="S84">
        <v>6</v>
      </c>
      <c r="T84">
        <v>6</v>
      </c>
      <c r="U84">
        <v>7</v>
      </c>
      <c r="V84">
        <v>7</v>
      </c>
      <c r="W84">
        <v>7</v>
      </c>
      <c r="X84">
        <v>4</v>
      </c>
      <c r="Y84">
        <v>4</v>
      </c>
      <c r="Z84">
        <f>AVERAGE(Table1[[#This Row],[v2eldonate_nr]:[v2elffelrbin_nr]])</f>
        <v>6.4285714285714288</v>
      </c>
      <c r="AA8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84">
        <f>AVERAGE(Table1[[#This Row],[v2elsnlfc_nr]:[v2elsnmrfc_nr]])</f>
        <v>4</v>
      </c>
      <c r="AC84">
        <f>Table1[[#This Row],[v2el_avg]]-Table1[[#This Row],[v2elsn_avg]]</f>
        <v>2.4285714285714288</v>
      </c>
      <c r="AD84" s="4">
        <f>Table1[[#This Row],[v2el_avg2]]-Table1[[#This Row],[v2elsn_avg]]</f>
        <v>2.2000000000000002</v>
      </c>
      <c r="AE84" s="4">
        <f>MAX(Table1[[#This Row],[v2eldonate_nr]:[v2elsnmrfc_nr]])</f>
        <v>7</v>
      </c>
      <c r="AF84" s="4">
        <f>MAX(Table1[[#This Row],[v2elsnlfc_nr]:[v2elsnmrfc_nr]])</f>
        <v>4</v>
      </c>
    </row>
    <row r="85" spans="1:32" x14ac:dyDescent="0.35">
      <c r="A85" t="s">
        <v>4</v>
      </c>
      <c r="B85">
        <v>1983</v>
      </c>
      <c r="C85">
        <v>2</v>
      </c>
      <c r="D85">
        <v>3</v>
      </c>
      <c r="E85">
        <v>4</v>
      </c>
      <c r="F85">
        <v>3</v>
      </c>
      <c r="T85">
        <v>6</v>
      </c>
      <c r="U85">
        <v>7</v>
      </c>
      <c r="V85">
        <v>6</v>
      </c>
      <c r="W85">
        <v>7</v>
      </c>
      <c r="X85">
        <v>3</v>
      </c>
      <c r="Y85">
        <v>3</v>
      </c>
      <c r="Z85">
        <f>AVERAGE(Table1[[#This Row],[v2eldonate_nr]:[v2elffelrbin_nr]])</f>
        <v>4.75</v>
      </c>
      <c r="AA8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5">
        <f>AVERAGE(Table1[[#This Row],[v2elsnlfc_nr]:[v2elsnmrfc_nr]])</f>
        <v>3</v>
      </c>
      <c r="AC85">
        <f>Table1[[#This Row],[v2el_avg]]-Table1[[#This Row],[v2elsn_avg]]</f>
        <v>1.75</v>
      </c>
      <c r="AD85" s="4">
        <f>Table1[[#This Row],[v2el_avg2]]-Table1[[#This Row],[v2elsn_avg]]</f>
        <v>1.4000000000000004</v>
      </c>
      <c r="AE85" s="4">
        <f>MAX(Table1[[#This Row],[v2eldonate_nr]:[v2elsnmrfc_nr]])</f>
        <v>7</v>
      </c>
      <c r="AF85" s="4">
        <f>MAX(Table1[[#This Row],[v2elsnlfc_nr]:[v2elsnmrfc_nr]])</f>
        <v>3</v>
      </c>
    </row>
    <row r="86" spans="1:32" x14ac:dyDescent="0.35">
      <c r="A86" t="s">
        <v>4</v>
      </c>
      <c r="B86">
        <v>1984</v>
      </c>
      <c r="C86">
        <v>2</v>
      </c>
      <c r="D86">
        <v>3</v>
      </c>
      <c r="E86">
        <v>4</v>
      </c>
      <c r="F86">
        <v>3</v>
      </c>
      <c r="T86">
        <v>6</v>
      </c>
      <c r="U86">
        <v>7</v>
      </c>
      <c r="V86">
        <v>6</v>
      </c>
      <c r="W86">
        <v>7</v>
      </c>
      <c r="X86">
        <v>3</v>
      </c>
      <c r="Y86">
        <v>3</v>
      </c>
      <c r="Z86">
        <f>AVERAGE(Table1[[#This Row],[v2eldonate_nr]:[v2elffelrbin_nr]])</f>
        <v>4.75</v>
      </c>
      <c r="AA8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6">
        <f>AVERAGE(Table1[[#This Row],[v2elsnlfc_nr]:[v2elsnmrfc_nr]])</f>
        <v>3</v>
      </c>
      <c r="AC86">
        <f>Table1[[#This Row],[v2el_avg]]-Table1[[#This Row],[v2elsn_avg]]</f>
        <v>1.75</v>
      </c>
      <c r="AD86" s="4">
        <f>Table1[[#This Row],[v2el_avg2]]-Table1[[#This Row],[v2elsn_avg]]</f>
        <v>1.4000000000000004</v>
      </c>
      <c r="AE86" s="4">
        <f>MAX(Table1[[#This Row],[v2eldonate_nr]:[v2elsnmrfc_nr]])</f>
        <v>7</v>
      </c>
      <c r="AF86" s="4">
        <f>MAX(Table1[[#This Row],[v2elsnlfc_nr]:[v2elsnmrfc_nr]])</f>
        <v>3</v>
      </c>
    </row>
    <row r="87" spans="1:32" x14ac:dyDescent="0.35">
      <c r="A87" t="s">
        <v>4</v>
      </c>
      <c r="B87">
        <v>1985</v>
      </c>
      <c r="C87">
        <v>2</v>
      </c>
      <c r="D87">
        <v>3</v>
      </c>
      <c r="E87">
        <v>4</v>
      </c>
      <c r="F87">
        <v>3</v>
      </c>
      <c r="T87">
        <v>6</v>
      </c>
      <c r="U87">
        <v>7</v>
      </c>
      <c r="V87">
        <v>6</v>
      </c>
      <c r="W87">
        <v>7</v>
      </c>
      <c r="X87">
        <v>3</v>
      </c>
      <c r="Y87">
        <v>3</v>
      </c>
      <c r="Z87">
        <f>AVERAGE(Table1[[#This Row],[v2eldonate_nr]:[v2elffelrbin_nr]])</f>
        <v>4.75</v>
      </c>
      <c r="AA8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7">
        <f>AVERAGE(Table1[[#This Row],[v2elsnlfc_nr]:[v2elsnmrfc_nr]])</f>
        <v>3</v>
      </c>
      <c r="AC87">
        <f>Table1[[#This Row],[v2el_avg]]-Table1[[#This Row],[v2elsn_avg]]</f>
        <v>1.75</v>
      </c>
      <c r="AD87" s="4">
        <f>Table1[[#This Row],[v2el_avg2]]-Table1[[#This Row],[v2elsn_avg]]</f>
        <v>1.4000000000000004</v>
      </c>
      <c r="AE87" s="4">
        <f>MAX(Table1[[#This Row],[v2eldonate_nr]:[v2elsnmrfc_nr]])</f>
        <v>7</v>
      </c>
      <c r="AF87" s="4">
        <f>MAX(Table1[[#This Row],[v2elsnlfc_nr]:[v2elsnmrfc_nr]])</f>
        <v>3</v>
      </c>
    </row>
    <row r="88" spans="1:32" x14ac:dyDescent="0.35">
      <c r="A88" t="s">
        <v>4</v>
      </c>
      <c r="B88">
        <v>1986</v>
      </c>
      <c r="C88">
        <v>7</v>
      </c>
      <c r="D88">
        <v>7</v>
      </c>
      <c r="E88">
        <v>7</v>
      </c>
      <c r="F88">
        <v>6</v>
      </c>
      <c r="G88">
        <v>6</v>
      </c>
      <c r="H88">
        <v>6</v>
      </c>
      <c r="I88">
        <v>7</v>
      </c>
      <c r="J88">
        <v>7</v>
      </c>
      <c r="K88">
        <v>6</v>
      </c>
      <c r="L88">
        <v>6</v>
      </c>
      <c r="M88">
        <v>7</v>
      </c>
      <c r="N88">
        <v>6</v>
      </c>
      <c r="O88">
        <v>6</v>
      </c>
      <c r="P88">
        <v>5</v>
      </c>
      <c r="Q88">
        <v>7</v>
      </c>
      <c r="R88">
        <v>6</v>
      </c>
      <c r="S88">
        <v>6</v>
      </c>
      <c r="T88">
        <v>6</v>
      </c>
      <c r="U88">
        <v>7</v>
      </c>
      <c r="V88">
        <v>7</v>
      </c>
      <c r="W88">
        <v>7</v>
      </c>
      <c r="X88">
        <v>4</v>
      </c>
      <c r="Y88">
        <v>4</v>
      </c>
      <c r="Z88">
        <f>AVERAGE(Table1[[#This Row],[v2eldonate_nr]:[v2elffelrbin_nr]])</f>
        <v>6.4285714285714288</v>
      </c>
      <c r="AA8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88">
        <f>AVERAGE(Table1[[#This Row],[v2elsnlfc_nr]:[v2elsnmrfc_nr]])</f>
        <v>4</v>
      </c>
      <c r="AC88">
        <f>Table1[[#This Row],[v2el_avg]]-Table1[[#This Row],[v2elsn_avg]]</f>
        <v>2.4285714285714288</v>
      </c>
      <c r="AD88" s="4">
        <f>Table1[[#This Row],[v2el_avg2]]-Table1[[#This Row],[v2elsn_avg]]</f>
        <v>2.2000000000000002</v>
      </c>
      <c r="AE88" s="4">
        <f>MAX(Table1[[#This Row],[v2eldonate_nr]:[v2elsnmrfc_nr]])</f>
        <v>7</v>
      </c>
      <c r="AF88" s="4">
        <f>MAX(Table1[[#This Row],[v2elsnlfc_nr]:[v2elsnmrfc_nr]])</f>
        <v>4</v>
      </c>
    </row>
    <row r="89" spans="1:32" x14ac:dyDescent="0.35">
      <c r="A89" t="s">
        <v>4</v>
      </c>
      <c r="B89">
        <v>1987</v>
      </c>
      <c r="C89">
        <v>2</v>
      </c>
      <c r="D89">
        <v>3</v>
      </c>
      <c r="E89">
        <v>4</v>
      </c>
      <c r="F89">
        <v>3</v>
      </c>
      <c r="T89">
        <v>6</v>
      </c>
      <c r="U89">
        <v>7</v>
      </c>
      <c r="V89">
        <v>6</v>
      </c>
      <c r="W89">
        <v>7</v>
      </c>
      <c r="X89">
        <v>3</v>
      </c>
      <c r="Y89">
        <v>3</v>
      </c>
      <c r="Z89">
        <f>AVERAGE(Table1[[#This Row],[v2eldonate_nr]:[v2elffelrbin_nr]])</f>
        <v>4.75</v>
      </c>
      <c r="AA8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89">
        <f>AVERAGE(Table1[[#This Row],[v2elsnlfc_nr]:[v2elsnmrfc_nr]])</f>
        <v>3</v>
      </c>
      <c r="AC89">
        <f>Table1[[#This Row],[v2el_avg]]-Table1[[#This Row],[v2elsn_avg]]</f>
        <v>1.75</v>
      </c>
      <c r="AD89" s="4">
        <f>Table1[[#This Row],[v2el_avg2]]-Table1[[#This Row],[v2elsn_avg]]</f>
        <v>1.4000000000000004</v>
      </c>
      <c r="AE89" s="4">
        <f>MAX(Table1[[#This Row],[v2eldonate_nr]:[v2elsnmrfc_nr]])</f>
        <v>7</v>
      </c>
      <c r="AF89" s="4">
        <f>MAX(Table1[[#This Row],[v2elsnlfc_nr]:[v2elsnmrfc_nr]])</f>
        <v>3</v>
      </c>
    </row>
    <row r="90" spans="1:32" x14ac:dyDescent="0.35">
      <c r="A90" t="s">
        <v>4</v>
      </c>
      <c r="B90">
        <v>1988</v>
      </c>
      <c r="C90">
        <v>2</v>
      </c>
      <c r="D90">
        <v>3</v>
      </c>
      <c r="E90">
        <v>4</v>
      </c>
      <c r="F90">
        <v>3</v>
      </c>
      <c r="T90">
        <v>6</v>
      </c>
      <c r="U90">
        <v>7</v>
      </c>
      <c r="V90">
        <v>7</v>
      </c>
      <c r="W90">
        <v>7</v>
      </c>
      <c r="X90">
        <v>4</v>
      </c>
      <c r="Y90">
        <v>4</v>
      </c>
      <c r="Z90">
        <f>AVERAGE(Table1[[#This Row],[v2eldonate_nr]:[v2elffelrbin_nr]])</f>
        <v>4.875</v>
      </c>
      <c r="AA9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90">
        <f>AVERAGE(Table1[[#This Row],[v2elsnlfc_nr]:[v2elsnmrfc_nr]])</f>
        <v>4</v>
      </c>
      <c r="AC90">
        <f>Table1[[#This Row],[v2el_avg]]-Table1[[#This Row],[v2elsn_avg]]</f>
        <v>0.875</v>
      </c>
      <c r="AD90" s="4">
        <f>Table1[[#This Row],[v2el_avg2]]-Table1[[#This Row],[v2elsn_avg]]</f>
        <v>0.70000000000000018</v>
      </c>
      <c r="AE90" s="4">
        <f>MAX(Table1[[#This Row],[v2eldonate_nr]:[v2elsnmrfc_nr]])</f>
        <v>7</v>
      </c>
      <c r="AF90" s="4">
        <f>MAX(Table1[[#This Row],[v2elsnlfc_nr]:[v2elsnmrfc_nr]])</f>
        <v>4</v>
      </c>
    </row>
    <row r="91" spans="1:32" x14ac:dyDescent="0.35">
      <c r="A91" t="s">
        <v>4</v>
      </c>
      <c r="B91">
        <v>1989</v>
      </c>
      <c r="C91">
        <v>2</v>
      </c>
      <c r="D91">
        <v>3</v>
      </c>
      <c r="E91">
        <v>4</v>
      </c>
      <c r="F91">
        <v>3</v>
      </c>
      <c r="T91">
        <v>6</v>
      </c>
      <c r="U91">
        <v>7</v>
      </c>
      <c r="V91">
        <v>6</v>
      </c>
      <c r="W91">
        <v>7</v>
      </c>
      <c r="X91">
        <v>3</v>
      </c>
      <c r="Y91">
        <v>3</v>
      </c>
      <c r="Z91">
        <f>AVERAGE(Table1[[#This Row],[v2eldonate_nr]:[v2elffelrbin_nr]])</f>
        <v>4.75</v>
      </c>
      <c r="AA9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4.4000000000000004</v>
      </c>
      <c r="AB91">
        <f>AVERAGE(Table1[[#This Row],[v2elsnlfc_nr]:[v2elsnmrfc_nr]])</f>
        <v>3</v>
      </c>
      <c r="AC91">
        <f>Table1[[#This Row],[v2el_avg]]-Table1[[#This Row],[v2elsn_avg]]</f>
        <v>1.75</v>
      </c>
      <c r="AD91" s="4">
        <f>Table1[[#This Row],[v2el_avg2]]-Table1[[#This Row],[v2elsn_avg]]</f>
        <v>1.4000000000000004</v>
      </c>
      <c r="AE91" s="4">
        <f>MAX(Table1[[#This Row],[v2eldonate_nr]:[v2elsnmrfc_nr]])</f>
        <v>7</v>
      </c>
      <c r="AF91" s="4">
        <f>MAX(Table1[[#This Row],[v2elsnlfc_nr]:[v2elsnmrfc_nr]])</f>
        <v>3</v>
      </c>
    </row>
    <row r="92" spans="1:32" x14ac:dyDescent="0.35">
      <c r="A92" t="s">
        <v>4</v>
      </c>
      <c r="B92">
        <v>1990</v>
      </c>
      <c r="C92">
        <v>7</v>
      </c>
      <c r="D92">
        <v>7</v>
      </c>
      <c r="E92">
        <v>7</v>
      </c>
      <c r="F92">
        <v>7</v>
      </c>
      <c r="G92">
        <v>6</v>
      </c>
      <c r="H92">
        <v>6</v>
      </c>
      <c r="I92">
        <v>7</v>
      </c>
      <c r="J92">
        <v>7</v>
      </c>
      <c r="K92">
        <v>6</v>
      </c>
      <c r="L92">
        <v>7</v>
      </c>
      <c r="M92">
        <v>6</v>
      </c>
      <c r="N92">
        <v>7</v>
      </c>
      <c r="O92">
        <v>7</v>
      </c>
      <c r="P92">
        <v>6</v>
      </c>
      <c r="Q92">
        <v>7</v>
      </c>
      <c r="R92">
        <v>7</v>
      </c>
      <c r="S92">
        <v>7</v>
      </c>
      <c r="T92">
        <v>6</v>
      </c>
      <c r="U92">
        <v>7</v>
      </c>
      <c r="V92">
        <v>7</v>
      </c>
      <c r="W92">
        <v>7</v>
      </c>
      <c r="X92">
        <v>3</v>
      </c>
      <c r="Y92">
        <v>2</v>
      </c>
      <c r="Z92">
        <f>AVERAGE(Table1[[#This Row],[v2eldonate_nr]:[v2elffelrbin_nr]])</f>
        <v>6.7142857142857144</v>
      </c>
      <c r="AA9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</v>
      </c>
      <c r="AB92">
        <f>AVERAGE(Table1[[#This Row],[v2elsnlfc_nr]:[v2elsnmrfc_nr]])</f>
        <v>2.5</v>
      </c>
      <c r="AC92">
        <f>Table1[[#This Row],[v2el_avg]]-Table1[[#This Row],[v2elsn_avg]]</f>
        <v>4.2142857142857144</v>
      </c>
      <c r="AD92" s="4">
        <f>Table1[[#This Row],[v2el_avg2]]-Table1[[#This Row],[v2elsn_avg]]</f>
        <v>3.5</v>
      </c>
      <c r="AE92" s="4">
        <f>MAX(Table1[[#This Row],[v2eldonate_nr]:[v2elsnmrfc_nr]])</f>
        <v>7</v>
      </c>
      <c r="AF92" s="4">
        <f>MAX(Table1[[#This Row],[v2elsnlfc_nr]:[v2elsnmrfc_nr]])</f>
        <v>3</v>
      </c>
    </row>
    <row r="93" spans="1:32" x14ac:dyDescent="0.35">
      <c r="A93" t="s">
        <v>4</v>
      </c>
      <c r="B93">
        <v>1991</v>
      </c>
      <c r="C93">
        <v>7</v>
      </c>
      <c r="D93">
        <v>7</v>
      </c>
      <c r="E93">
        <v>7</v>
      </c>
      <c r="F93">
        <v>7</v>
      </c>
      <c r="G93">
        <v>6</v>
      </c>
      <c r="H93">
        <v>6</v>
      </c>
      <c r="I93">
        <v>7</v>
      </c>
      <c r="J93">
        <v>6</v>
      </c>
      <c r="K93">
        <v>5</v>
      </c>
      <c r="L93">
        <v>6</v>
      </c>
      <c r="M93">
        <v>6</v>
      </c>
      <c r="N93">
        <v>6</v>
      </c>
      <c r="O93">
        <v>6</v>
      </c>
      <c r="P93">
        <v>5</v>
      </c>
      <c r="Q93">
        <v>7</v>
      </c>
      <c r="R93">
        <v>6</v>
      </c>
      <c r="S93">
        <v>6</v>
      </c>
      <c r="T93">
        <v>7</v>
      </c>
      <c r="U93">
        <v>7</v>
      </c>
      <c r="V93">
        <v>6</v>
      </c>
      <c r="W93">
        <v>7</v>
      </c>
      <c r="X93">
        <v>3</v>
      </c>
      <c r="Y93">
        <v>3</v>
      </c>
      <c r="Z93">
        <f>AVERAGE(Table1[[#This Row],[v2eldonate_nr]:[v2elffelrbin_nr]])</f>
        <v>6.333333333333333</v>
      </c>
      <c r="AA9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6.1</v>
      </c>
      <c r="AB93">
        <f>AVERAGE(Table1[[#This Row],[v2elsnlfc_nr]:[v2elsnmrfc_nr]])</f>
        <v>3</v>
      </c>
      <c r="AC93">
        <f>Table1[[#This Row],[v2el_avg]]-Table1[[#This Row],[v2elsn_avg]]</f>
        <v>3.333333333333333</v>
      </c>
      <c r="AD93" s="4">
        <f>Table1[[#This Row],[v2el_avg2]]-Table1[[#This Row],[v2elsn_avg]]</f>
        <v>3.0999999999999996</v>
      </c>
      <c r="AE93" s="4">
        <f>MAX(Table1[[#This Row],[v2eldonate_nr]:[v2elsnmrfc_nr]])</f>
        <v>7</v>
      </c>
      <c r="AF93" s="4">
        <f>MAX(Table1[[#This Row],[v2elsnlfc_nr]:[v2elsnmrfc_nr]])</f>
        <v>3</v>
      </c>
    </row>
    <row r="94" spans="1:32" x14ac:dyDescent="0.35">
      <c r="A94" t="s">
        <v>4</v>
      </c>
      <c r="B94">
        <v>1992</v>
      </c>
      <c r="C94">
        <v>2</v>
      </c>
      <c r="D94">
        <v>3</v>
      </c>
      <c r="E94">
        <v>4</v>
      </c>
      <c r="F94">
        <v>4</v>
      </c>
      <c r="T94">
        <v>7</v>
      </c>
      <c r="U94">
        <v>7</v>
      </c>
      <c r="V94">
        <v>7</v>
      </c>
      <c r="W94">
        <v>7</v>
      </c>
      <c r="X94">
        <v>3</v>
      </c>
      <c r="Y94">
        <v>3</v>
      </c>
      <c r="Z94">
        <f>AVERAGE(Table1[[#This Row],[v2eldonate_nr]:[v2elffelrbin_nr]])</f>
        <v>5.125</v>
      </c>
      <c r="AA9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94">
        <f>AVERAGE(Table1[[#This Row],[v2elsnlfc_nr]:[v2elsnmrfc_nr]])</f>
        <v>3</v>
      </c>
      <c r="AC94">
        <f>Table1[[#This Row],[v2el_avg]]-Table1[[#This Row],[v2elsn_avg]]</f>
        <v>2.125</v>
      </c>
      <c r="AD94" s="4">
        <f>Table1[[#This Row],[v2el_avg2]]-Table1[[#This Row],[v2elsn_avg]]</f>
        <v>1.7000000000000002</v>
      </c>
      <c r="AE94" s="4">
        <f>MAX(Table1[[#This Row],[v2eldonate_nr]:[v2elsnmrfc_nr]])</f>
        <v>7</v>
      </c>
      <c r="AF94" s="4">
        <f>MAX(Table1[[#This Row],[v2elsnlfc_nr]:[v2elsnmrfc_nr]])</f>
        <v>3</v>
      </c>
    </row>
    <row r="95" spans="1:32" x14ac:dyDescent="0.35">
      <c r="A95" t="s">
        <v>4</v>
      </c>
      <c r="B95">
        <v>1993</v>
      </c>
      <c r="C95">
        <v>2</v>
      </c>
      <c r="D95">
        <v>3</v>
      </c>
      <c r="E95">
        <v>4</v>
      </c>
      <c r="F95">
        <v>4</v>
      </c>
      <c r="T95">
        <v>7</v>
      </c>
      <c r="U95">
        <v>7</v>
      </c>
      <c r="V95">
        <v>6</v>
      </c>
      <c r="W95">
        <v>7</v>
      </c>
      <c r="X95">
        <v>3</v>
      </c>
      <c r="Y95">
        <v>3</v>
      </c>
      <c r="Z95">
        <f>AVERAGE(Table1[[#This Row],[v2eldonate_nr]:[v2elffelrbin_nr]])</f>
        <v>5</v>
      </c>
      <c r="AA9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4.5999999999999996</v>
      </c>
      <c r="AB95">
        <f>AVERAGE(Table1[[#This Row],[v2elsnlfc_nr]:[v2elsnmrfc_nr]])</f>
        <v>3</v>
      </c>
      <c r="AC95">
        <f>Table1[[#This Row],[v2el_avg]]-Table1[[#This Row],[v2elsn_avg]]</f>
        <v>2</v>
      </c>
      <c r="AD95" s="4">
        <f>Table1[[#This Row],[v2el_avg2]]-Table1[[#This Row],[v2elsn_avg]]</f>
        <v>1.5999999999999996</v>
      </c>
      <c r="AE95" s="4">
        <f>MAX(Table1[[#This Row],[v2eldonate_nr]:[v2elsnmrfc_nr]])</f>
        <v>7</v>
      </c>
      <c r="AF95" s="4">
        <f>MAX(Table1[[#This Row],[v2elsnlfc_nr]:[v2elsnmrfc_nr]])</f>
        <v>3</v>
      </c>
    </row>
    <row r="96" spans="1:32" x14ac:dyDescent="0.35">
      <c r="A96" t="s">
        <v>4</v>
      </c>
      <c r="B96">
        <v>1994</v>
      </c>
      <c r="C96">
        <v>7</v>
      </c>
      <c r="D96">
        <v>7</v>
      </c>
      <c r="E96">
        <v>7</v>
      </c>
      <c r="F96">
        <v>7</v>
      </c>
      <c r="G96">
        <v>6</v>
      </c>
      <c r="H96">
        <v>6</v>
      </c>
      <c r="I96">
        <v>7</v>
      </c>
      <c r="J96">
        <v>7</v>
      </c>
      <c r="K96">
        <v>7</v>
      </c>
      <c r="L96">
        <v>6</v>
      </c>
      <c r="M96">
        <v>6</v>
      </c>
      <c r="N96">
        <v>6</v>
      </c>
      <c r="O96">
        <v>6</v>
      </c>
      <c r="P96">
        <v>6</v>
      </c>
      <c r="Q96">
        <v>7</v>
      </c>
      <c r="R96">
        <v>6</v>
      </c>
      <c r="S96">
        <v>6</v>
      </c>
      <c r="T96">
        <v>7</v>
      </c>
      <c r="U96">
        <v>7</v>
      </c>
      <c r="V96">
        <v>7</v>
      </c>
      <c r="W96">
        <v>7</v>
      </c>
      <c r="X96">
        <v>3</v>
      </c>
      <c r="Y96">
        <v>3</v>
      </c>
      <c r="Z96">
        <f>AVERAGE(Table1[[#This Row],[v2eldonate_nr]:[v2elffelrbin_nr]])</f>
        <v>6.5714285714285712</v>
      </c>
      <c r="AA9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6.2</v>
      </c>
      <c r="AB96">
        <f>AVERAGE(Table1[[#This Row],[v2elsnlfc_nr]:[v2elsnmrfc_nr]])</f>
        <v>3</v>
      </c>
      <c r="AC96">
        <f>Table1[[#This Row],[v2el_avg]]-Table1[[#This Row],[v2elsn_avg]]</f>
        <v>3.5714285714285712</v>
      </c>
      <c r="AD96" s="4">
        <f>Table1[[#This Row],[v2el_avg2]]-Table1[[#This Row],[v2elsn_avg]]</f>
        <v>3.2</v>
      </c>
      <c r="AE96" s="4">
        <f>MAX(Table1[[#This Row],[v2eldonate_nr]:[v2elsnmrfc_nr]])</f>
        <v>7</v>
      </c>
      <c r="AF96" s="4">
        <f>MAX(Table1[[#This Row],[v2elsnlfc_nr]:[v2elsnmrfc_nr]])</f>
        <v>3</v>
      </c>
    </row>
    <row r="97" spans="1:32" x14ac:dyDescent="0.35">
      <c r="A97" t="s">
        <v>4</v>
      </c>
      <c r="B97">
        <v>1995</v>
      </c>
      <c r="C97">
        <v>2</v>
      </c>
      <c r="D97">
        <v>3</v>
      </c>
      <c r="E97">
        <v>4</v>
      </c>
      <c r="F97">
        <v>4</v>
      </c>
      <c r="T97">
        <v>7</v>
      </c>
      <c r="U97">
        <v>7</v>
      </c>
      <c r="V97">
        <v>6</v>
      </c>
      <c r="W97">
        <v>7</v>
      </c>
      <c r="X97">
        <v>3</v>
      </c>
      <c r="Y97">
        <v>3</v>
      </c>
      <c r="Z97">
        <f>AVERAGE(Table1[[#This Row],[v2eldonate_nr]:[v2elffelrbin_nr]])</f>
        <v>5</v>
      </c>
      <c r="AA9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4.5999999999999996</v>
      </c>
      <c r="AB97">
        <f>AVERAGE(Table1[[#This Row],[v2elsnlfc_nr]:[v2elsnmrfc_nr]])</f>
        <v>3</v>
      </c>
      <c r="AC97">
        <f>Table1[[#This Row],[v2el_avg]]-Table1[[#This Row],[v2elsn_avg]]</f>
        <v>2</v>
      </c>
      <c r="AD97" s="4">
        <f>Table1[[#This Row],[v2el_avg2]]-Table1[[#This Row],[v2elsn_avg]]</f>
        <v>1.5999999999999996</v>
      </c>
      <c r="AE97" s="4">
        <f>MAX(Table1[[#This Row],[v2eldonate_nr]:[v2elsnmrfc_nr]])</f>
        <v>7</v>
      </c>
      <c r="AF97" s="4">
        <f>MAX(Table1[[#This Row],[v2elsnlfc_nr]:[v2elsnmrfc_nr]])</f>
        <v>3</v>
      </c>
    </row>
    <row r="98" spans="1:32" x14ac:dyDescent="0.35">
      <c r="A98" t="s">
        <v>4</v>
      </c>
      <c r="B98">
        <v>1996</v>
      </c>
      <c r="C98">
        <v>2</v>
      </c>
      <c r="D98">
        <v>3</v>
      </c>
      <c r="E98">
        <v>4</v>
      </c>
      <c r="F98">
        <v>4</v>
      </c>
      <c r="T98">
        <v>7</v>
      </c>
      <c r="U98">
        <v>7</v>
      </c>
      <c r="V98">
        <v>6</v>
      </c>
      <c r="W98">
        <v>7</v>
      </c>
      <c r="X98">
        <v>3</v>
      </c>
      <c r="Y98">
        <v>3</v>
      </c>
      <c r="Z98">
        <f>AVERAGE(Table1[[#This Row],[v2eldonate_nr]:[v2elffelrbin_nr]])</f>
        <v>5</v>
      </c>
      <c r="AA9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4.5999999999999996</v>
      </c>
      <c r="AB98">
        <f>AVERAGE(Table1[[#This Row],[v2elsnlfc_nr]:[v2elsnmrfc_nr]])</f>
        <v>3</v>
      </c>
      <c r="AC98">
        <f>Table1[[#This Row],[v2el_avg]]-Table1[[#This Row],[v2elsn_avg]]</f>
        <v>2</v>
      </c>
      <c r="AD98" s="4">
        <f>Table1[[#This Row],[v2el_avg2]]-Table1[[#This Row],[v2elsn_avg]]</f>
        <v>1.5999999999999996</v>
      </c>
      <c r="AE98" s="4">
        <f>MAX(Table1[[#This Row],[v2eldonate_nr]:[v2elsnmrfc_nr]])</f>
        <v>7</v>
      </c>
      <c r="AF98" s="4">
        <f>MAX(Table1[[#This Row],[v2elsnlfc_nr]:[v2elsnmrfc_nr]])</f>
        <v>3</v>
      </c>
    </row>
    <row r="99" spans="1:32" x14ac:dyDescent="0.35">
      <c r="A99" t="s">
        <v>4</v>
      </c>
      <c r="B99">
        <v>1997</v>
      </c>
      <c r="C99">
        <v>2</v>
      </c>
      <c r="D99">
        <v>3</v>
      </c>
      <c r="E99">
        <v>4</v>
      </c>
      <c r="F99">
        <v>4</v>
      </c>
      <c r="T99">
        <v>7</v>
      </c>
      <c r="U99">
        <v>7</v>
      </c>
      <c r="V99">
        <v>7</v>
      </c>
      <c r="W99">
        <v>7</v>
      </c>
      <c r="X99">
        <v>3</v>
      </c>
      <c r="Y99">
        <v>3</v>
      </c>
      <c r="Z99">
        <f>AVERAGE(Table1[[#This Row],[v2eldonate_nr]:[v2elffelrbin_nr]])</f>
        <v>5.125</v>
      </c>
      <c r="AA9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99">
        <f>AVERAGE(Table1[[#This Row],[v2elsnlfc_nr]:[v2elsnmrfc_nr]])</f>
        <v>3</v>
      </c>
      <c r="AC99">
        <f>Table1[[#This Row],[v2el_avg]]-Table1[[#This Row],[v2elsn_avg]]</f>
        <v>2.125</v>
      </c>
      <c r="AD99" s="4">
        <f>Table1[[#This Row],[v2el_avg2]]-Table1[[#This Row],[v2elsn_avg]]</f>
        <v>1.7000000000000002</v>
      </c>
      <c r="AE99" s="4">
        <f>MAX(Table1[[#This Row],[v2eldonate_nr]:[v2elsnmrfc_nr]])</f>
        <v>7</v>
      </c>
      <c r="AF99" s="4">
        <f>MAX(Table1[[#This Row],[v2elsnlfc_nr]:[v2elsnmrfc_nr]])</f>
        <v>3</v>
      </c>
    </row>
    <row r="100" spans="1:32" x14ac:dyDescent="0.35">
      <c r="A100" t="s">
        <v>4</v>
      </c>
      <c r="B100">
        <v>1998</v>
      </c>
      <c r="C100">
        <v>7</v>
      </c>
      <c r="D100">
        <v>7</v>
      </c>
      <c r="E100">
        <v>7</v>
      </c>
      <c r="F100">
        <v>7</v>
      </c>
      <c r="G100">
        <v>6</v>
      </c>
      <c r="H100">
        <v>6</v>
      </c>
      <c r="I100">
        <v>7</v>
      </c>
      <c r="J100">
        <v>7</v>
      </c>
      <c r="K100">
        <v>7</v>
      </c>
      <c r="L100">
        <v>6</v>
      </c>
      <c r="M100">
        <v>6</v>
      </c>
      <c r="N100">
        <v>6</v>
      </c>
      <c r="O100">
        <v>6</v>
      </c>
      <c r="P100">
        <v>6</v>
      </c>
      <c r="Q100">
        <v>7</v>
      </c>
      <c r="R100">
        <v>6</v>
      </c>
      <c r="S100">
        <v>6</v>
      </c>
      <c r="T100">
        <v>7</v>
      </c>
      <c r="U100">
        <v>7</v>
      </c>
      <c r="V100">
        <v>6</v>
      </c>
      <c r="W100">
        <v>7</v>
      </c>
      <c r="X100">
        <v>3</v>
      </c>
      <c r="Y100">
        <v>3</v>
      </c>
      <c r="Z100">
        <f>AVERAGE(Table1[[#This Row],[v2eldonate_nr]:[v2elffelrbin_nr]])</f>
        <v>6.5238095238095237</v>
      </c>
      <c r="AA10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6.1</v>
      </c>
      <c r="AB100">
        <f>AVERAGE(Table1[[#This Row],[v2elsnlfc_nr]:[v2elsnmrfc_nr]])</f>
        <v>3</v>
      </c>
      <c r="AC100">
        <f>Table1[[#This Row],[v2el_avg]]-Table1[[#This Row],[v2elsn_avg]]</f>
        <v>3.5238095238095237</v>
      </c>
      <c r="AD100" s="4">
        <f>Table1[[#This Row],[v2el_avg2]]-Table1[[#This Row],[v2elsn_avg]]</f>
        <v>3.0999999999999996</v>
      </c>
      <c r="AE100" s="4">
        <f>MAX(Table1[[#This Row],[v2eldonate_nr]:[v2elsnmrfc_nr]])</f>
        <v>7</v>
      </c>
      <c r="AF100" s="4">
        <f>MAX(Table1[[#This Row],[v2elsnlfc_nr]:[v2elsnmrfc_nr]])</f>
        <v>3</v>
      </c>
    </row>
    <row r="101" spans="1:32" x14ac:dyDescent="0.35">
      <c r="A101" t="s">
        <v>4</v>
      </c>
      <c r="B101">
        <v>1999</v>
      </c>
      <c r="C101">
        <v>2</v>
      </c>
      <c r="D101">
        <v>3</v>
      </c>
      <c r="E101">
        <v>4</v>
      </c>
      <c r="F101">
        <v>4</v>
      </c>
      <c r="T101">
        <v>7</v>
      </c>
      <c r="U101">
        <v>7</v>
      </c>
      <c r="V101">
        <v>6</v>
      </c>
      <c r="W101">
        <v>7</v>
      </c>
      <c r="X101">
        <v>3</v>
      </c>
      <c r="Y101">
        <v>3</v>
      </c>
      <c r="Z101">
        <f>AVERAGE(Table1[[#This Row],[v2eldonate_nr]:[v2elffelrbin_nr]])</f>
        <v>5</v>
      </c>
      <c r="AA10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4.5999999999999996</v>
      </c>
      <c r="AB101">
        <f>AVERAGE(Table1[[#This Row],[v2elsnlfc_nr]:[v2elsnmrfc_nr]])</f>
        <v>3</v>
      </c>
      <c r="AC101">
        <f>Table1[[#This Row],[v2el_avg]]-Table1[[#This Row],[v2elsn_avg]]</f>
        <v>2</v>
      </c>
      <c r="AD101" s="4">
        <f>Table1[[#This Row],[v2el_avg2]]-Table1[[#This Row],[v2elsn_avg]]</f>
        <v>1.5999999999999996</v>
      </c>
      <c r="AE101" s="4">
        <f>MAX(Table1[[#This Row],[v2eldonate_nr]:[v2elsnmrfc_nr]])</f>
        <v>7</v>
      </c>
      <c r="AF101" s="4">
        <f>MAX(Table1[[#This Row],[v2elsnlfc_nr]:[v2elsnmrfc_nr]])</f>
        <v>3</v>
      </c>
    </row>
    <row r="102" spans="1:32" x14ac:dyDescent="0.35">
      <c r="A102" t="s">
        <v>4</v>
      </c>
      <c r="B102">
        <v>2000</v>
      </c>
      <c r="C102">
        <v>2</v>
      </c>
      <c r="D102">
        <v>3</v>
      </c>
      <c r="E102">
        <v>4</v>
      </c>
      <c r="F102">
        <v>4</v>
      </c>
      <c r="T102">
        <v>7</v>
      </c>
      <c r="U102">
        <v>7</v>
      </c>
      <c r="V102">
        <v>7</v>
      </c>
      <c r="W102">
        <v>7</v>
      </c>
      <c r="X102">
        <v>3</v>
      </c>
      <c r="Y102">
        <v>3</v>
      </c>
      <c r="Z102">
        <f>AVERAGE(Table1[[#This Row],[v2eldonate_nr]:[v2elffelrbin_nr]])</f>
        <v>5.125</v>
      </c>
      <c r="AA10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102">
        <f>AVERAGE(Table1[[#This Row],[v2elsnlfc_nr]:[v2elsnmrfc_nr]])</f>
        <v>3</v>
      </c>
      <c r="AC102">
        <f>Table1[[#This Row],[v2el_avg]]-Table1[[#This Row],[v2elsn_avg]]</f>
        <v>2.125</v>
      </c>
      <c r="AD102" s="4">
        <f>Table1[[#This Row],[v2el_avg2]]-Table1[[#This Row],[v2elsn_avg]]</f>
        <v>1.7000000000000002</v>
      </c>
      <c r="AE102" s="4">
        <f>MAX(Table1[[#This Row],[v2eldonate_nr]:[v2elsnmrfc_nr]])</f>
        <v>7</v>
      </c>
      <c r="AF102" s="4">
        <f>MAX(Table1[[#This Row],[v2elsnlfc_nr]:[v2elsnmrfc_nr]])</f>
        <v>3</v>
      </c>
    </row>
    <row r="103" spans="1:32" x14ac:dyDescent="0.35">
      <c r="A103" t="s">
        <v>4</v>
      </c>
      <c r="B103">
        <v>2001</v>
      </c>
      <c r="C103">
        <v>3</v>
      </c>
      <c r="D103">
        <v>6</v>
      </c>
      <c r="E103">
        <v>6</v>
      </c>
      <c r="F103">
        <v>6</v>
      </c>
      <c r="T103">
        <v>7</v>
      </c>
      <c r="U103">
        <v>7</v>
      </c>
      <c r="V103">
        <v>6</v>
      </c>
      <c r="W103">
        <v>7</v>
      </c>
      <c r="X103">
        <v>3</v>
      </c>
      <c r="Y103">
        <v>3</v>
      </c>
      <c r="Z103">
        <f>AVERAGE(Table1[[#This Row],[v2eldonate_nr]:[v2elffelrbin_nr]])</f>
        <v>6</v>
      </c>
      <c r="AA10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5.4</v>
      </c>
      <c r="AB103">
        <f>AVERAGE(Table1[[#This Row],[v2elsnlfc_nr]:[v2elsnmrfc_nr]])</f>
        <v>3</v>
      </c>
      <c r="AC103">
        <f>Table1[[#This Row],[v2el_avg]]-Table1[[#This Row],[v2elsn_avg]]</f>
        <v>3</v>
      </c>
      <c r="AD103" s="4">
        <f>Table1[[#This Row],[v2el_avg2]]-Table1[[#This Row],[v2elsn_avg]]</f>
        <v>2.4000000000000004</v>
      </c>
      <c r="AE103" s="4">
        <f>MAX(Table1[[#This Row],[v2eldonate_nr]:[v2elsnmrfc_nr]])</f>
        <v>7</v>
      </c>
      <c r="AF103" s="4">
        <f>MAX(Table1[[#This Row],[v2elsnlfc_nr]:[v2elsnmrfc_nr]])</f>
        <v>3</v>
      </c>
    </row>
    <row r="104" spans="1:32" x14ac:dyDescent="0.35">
      <c r="A104" t="s">
        <v>4</v>
      </c>
      <c r="B104">
        <v>2002</v>
      </c>
      <c r="C104">
        <v>6</v>
      </c>
      <c r="D104">
        <v>7</v>
      </c>
      <c r="E104">
        <v>7</v>
      </c>
      <c r="F104">
        <v>7</v>
      </c>
      <c r="G104">
        <v>6</v>
      </c>
      <c r="H104">
        <v>6</v>
      </c>
      <c r="I104">
        <v>6</v>
      </c>
      <c r="J104">
        <v>7</v>
      </c>
      <c r="K104">
        <v>7</v>
      </c>
      <c r="L104">
        <v>6</v>
      </c>
      <c r="M104">
        <v>5</v>
      </c>
      <c r="N104">
        <v>5</v>
      </c>
      <c r="O104">
        <v>5</v>
      </c>
      <c r="P104">
        <v>6</v>
      </c>
      <c r="Q104">
        <v>6</v>
      </c>
      <c r="R104">
        <v>6</v>
      </c>
      <c r="S104">
        <v>6</v>
      </c>
      <c r="T104">
        <v>7</v>
      </c>
      <c r="U104">
        <v>7</v>
      </c>
      <c r="V104">
        <v>6</v>
      </c>
      <c r="W104">
        <v>7</v>
      </c>
      <c r="X104">
        <v>3</v>
      </c>
      <c r="Y104">
        <v>3</v>
      </c>
      <c r="Z104">
        <f>AVERAGE(Table1[[#This Row],[v2eldonate_nr]:[v2elffelrbin_nr]])</f>
        <v>6.2380952380952381</v>
      </c>
      <c r="AA10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</v>
      </c>
      <c r="AB104">
        <f>AVERAGE(Table1[[#This Row],[v2elsnlfc_nr]:[v2elsnmrfc_nr]])</f>
        <v>3</v>
      </c>
      <c r="AC104">
        <f>Table1[[#This Row],[v2el_avg]]-Table1[[#This Row],[v2elsn_avg]]</f>
        <v>3.2380952380952381</v>
      </c>
      <c r="AD104" s="4">
        <f>Table1[[#This Row],[v2el_avg2]]-Table1[[#This Row],[v2elsn_avg]]</f>
        <v>3</v>
      </c>
      <c r="AE104" s="4">
        <f>MAX(Table1[[#This Row],[v2eldonate_nr]:[v2elsnmrfc_nr]])</f>
        <v>7</v>
      </c>
      <c r="AF104" s="4">
        <f>MAX(Table1[[#This Row],[v2elsnlfc_nr]:[v2elsnmrfc_nr]])</f>
        <v>3</v>
      </c>
    </row>
    <row r="105" spans="1:32" x14ac:dyDescent="0.35">
      <c r="A105" t="s">
        <v>4</v>
      </c>
      <c r="B105">
        <v>2003</v>
      </c>
      <c r="C105">
        <v>2</v>
      </c>
      <c r="D105">
        <v>4</v>
      </c>
      <c r="E105">
        <v>4</v>
      </c>
      <c r="F105">
        <v>4</v>
      </c>
      <c r="T105">
        <v>7</v>
      </c>
      <c r="U105">
        <v>7</v>
      </c>
      <c r="V105">
        <v>7</v>
      </c>
      <c r="W105">
        <v>7</v>
      </c>
      <c r="X105">
        <v>3</v>
      </c>
      <c r="Y105">
        <v>3</v>
      </c>
      <c r="Z105">
        <f>AVERAGE(Table1[[#This Row],[v2eldonate_nr]:[v2elffelrbin_nr]])</f>
        <v>5.25</v>
      </c>
      <c r="AA10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4.8</v>
      </c>
      <c r="AB105">
        <f>AVERAGE(Table1[[#This Row],[v2elsnlfc_nr]:[v2elsnmrfc_nr]])</f>
        <v>3</v>
      </c>
      <c r="AC105">
        <f>Table1[[#This Row],[v2el_avg]]-Table1[[#This Row],[v2elsn_avg]]</f>
        <v>2.25</v>
      </c>
      <c r="AD105" s="4">
        <f>Table1[[#This Row],[v2el_avg2]]-Table1[[#This Row],[v2elsn_avg]]</f>
        <v>1.7999999999999998</v>
      </c>
      <c r="AE105" s="4">
        <f>MAX(Table1[[#This Row],[v2eldonate_nr]:[v2elsnmrfc_nr]])</f>
        <v>7</v>
      </c>
      <c r="AF105" s="4">
        <f>MAX(Table1[[#This Row],[v2elsnlfc_nr]:[v2elsnmrfc_nr]])</f>
        <v>3</v>
      </c>
    </row>
    <row r="106" spans="1:32" x14ac:dyDescent="0.35">
      <c r="A106" t="s">
        <v>4</v>
      </c>
      <c r="B106">
        <v>2004</v>
      </c>
      <c r="C106">
        <v>2</v>
      </c>
      <c r="D106">
        <v>4</v>
      </c>
      <c r="E106">
        <v>4</v>
      </c>
      <c r="F106">
        <v>4</v>
      </c>
      <c r="T106">
        <v>7</v>
      </c>
      <c r="U106">
        <v>7</v>
      </c>
      <c r="V106">
        <v>6</v>
      </c>
      <c r="W106">
        <v>7</v>
      </c>
      <c r="X106">
        <v>3</v>
      </c>
      <c r="Y106">
        <v>3</v>
      </c>
      <c r="Z106">
        <f>AVERAGE(Table1[[#This Row],[v2eldonate_nr]:[v2elffelrbin_nr]])</f>
        <v>5.125</v>
      </c>
      <c r="AA10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4.7</v>
      </c>
      <c r="AB106">
        <f>AVERAGE(Table1[[#This Row],[v2elsnlfc_nr]:[v2elsnmrfc_nr]])</f>
        <v>3</v>
      </c>
      <c r="AC106">
        <f>Table1[[#This Row],[v2el_avg]]-Table1[[#This Row],[v2elsn_avg]]</f>
        <v>2.125</v>
      </c>
      <c r="AD106" s="4">
        <f>Table1[[#This Row],[v2el_avg2]]-Table1[[#This Row],[v2elsn_avg]]</f>
        <v>1.7000000000000002</v>
      </c>
      <c r="AE106" s="4">
        <f>MAX(Table1[[#This Row],[v2eldonate_nr]:[v2elsnmrfc_nr]])</f>
        <v>7</v>
      </c>
      <c r="AF106" s="4">
        <f>MAX(Table1[[#This Row],[v2elsnlfc_nr]:[v2elsnmrfc_nr]])</f>
        <v>3</v>
      </c>
    </row>
    <row r="107" spans="1:32" x14ac:dyDescent="0.35">
      <c r="A107" t="s">
        <v>4</v>
      </c>
      <c r="B107">
        <v>2005</v>
      </c>
      <c r="C107">
        <v>13</v>
      </c>
      <c r="D107">
        <v>15</v>
      </c>
      <c r="E107">
        <v>15</v>
      </c>
      <c r="F107">
        <v>15</v>
      </c>
      <c r="T107">
        <v>17</v>
      </c>
      <c r="U107">
        <v>17</v>
      </c>
      <c r="V107">
        <v>14</v>
      </c>
      <c r="W107">
        <v>17</v>
      </c>
      <c r="X107">
        <v>9</v>
      </c>
      <c r="Y107">
        <v>9</v>
      </c>
      <c r="Z107">
        <f>AVERAGE(Table1[[#This Row],[v2eldonate_nr]:[v2elffelrbin_nr]])</f>
        <v>15.375</v>
      </c>
      <c r="AA10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14.1</v>
      </c>
      <c r="AB107">
        <f>AVERAGE(Table1[[#This Row],[v2elsnlfc_nr]:[v2elsnmrfc_nr]])</f>
        <v>9</v>
      </c>
      <c r="AC107">
        <f>Table1[[#This Row],[v2el_avg]]-Table1[[#This Row],[v2elsn_avg]]</f>
        <v>6.375</v>
      </c>
      <c r="AD107" s="4">
        <f>Table1[[#This Row],[v2el_avg2]]-Table1[[#This Row],[v2elsn_avg]]</f>
        <v>5.0999999999999996</v>
      </c>
      <c r="AE107" s="4">
        <f>MAX(Table1[[#This Row],[v2eldonate_nr]:[v2elsnmrfc_nr]])</f>
        <v>17</v>
      </c>
      <c r="AF107" s="4">
        <f>MAX(Table1[[#This Row],[v2elsnlfc_nr]:[v2elsnmrfc_nr]])</f>
        <v>9</v>
      </c>
    </row>
    <row r="108" spans="1:32" x14ac:dyDescent="0.35">
      <c r="A108" t="s">
        <v>4</v>
      </c>
      <c r="B108">
        <v>2006</v>
      </c>
      <c r="C108">
        <v>18</v>
      </c>
      <c r="D108">
        <v>18</v>
      </c>
      <c r="E108">
        <v>18</v>
      </c>
      <c r="F108">
        <v>18</v>
      </c>
      <c r="G108">
        <v>18</v>
      </c>
      <c r="H108">
        <v>17</v>
      </c>
      <c r="I108">
        <v>18</v>
      </c>
      <c r="J108">
        <v>18</v>
      </c>
      <c r="K108">
        <v>18</v>
      </c>
      <c r="L108">
        <v>18</v>
      </c>
      <c r="M108">
        <v>18</v>
      </c>
      <c r="N108">
        <v>18</v>
      </c>
      <c r="O108">
        <v>18</v>
      </c>
      <c r="P108">
        <v>18</v>
      </c>
      <c r="Q108">
        <v>18</v>
      </c>
      <c r="R108">
        <v>18</v>
      </c>
      <c r="S108">
        <v>18</v>
      </c>
      <c r="T108">
        <v>17</v>
      </c>
      <c r="U108">
        <v>17</v>
      </c>
      <c r="V108">
        <v>14</v>
      </c>
      <c r="W108">
        <v>17</v>
      </c>
      <c r="X108">
        <v>9</v>
      </c>
      <c r="Y108">
        <v>9</v>
      </c>
      <c r="Z108">
        <f>AVERAGE(Table1[[#This Row],[v2eldonate_nr]:[v2elffelrbin_nr]])</f>
        <v>17.61904761904762</v>
      </c>
      <c r="AA10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15.5</v>
      </c>
      <c r="AB108">
        <f>AVERAGE(Table1[[#This Row],[v2elsnlfc_nr]:[v2elsnmrfc_nr]])</f>
        <v>9</v>
      </c>
      <c r="AC108">
        <f>Table1[[#This Row],[v2el_avg]]-Table1[[#This Row],[v2elsn_avg]]</f>
        <v>8.6190476190476204</v>
      </c>
      <c r="AD108" s="4">
        <f>Table1[[#This Row],[v2el_avg2]]-Table1[[#This Row],[v2elsn_avg]]</f>
        <v>6.5</v>
      </c>
      <c r="AE108" s="4">
        <f>MAX(Table1[[#This Row],[v2eldonate_nr]:[v2elsnmrfc_nr]])</f>
        <v>18</v>
      </c>
      <c r="AF108" s="4">
        <f>MAX(Table1[[#This Row],[v2elsnlfc_nr]:[v2elsnmrfc_nr]])</f>
        <v>9</v>
      </c>
    </row>
    <row r="109" spans="1:32" x14ac:dyDescent="0.35">
      <c r="A109" t="s">
        <v>4</v>
      </c>
      <c r="B109">
        <v>2007</v>
      </c>
      <c r="C109">
        <v>14</v>
      </c>
      <c r="D109">
        <v>15</v>
      </c>
      <c r="E109">
        <v>15</v>
      </c>
      <c r="F109">
        <v>15</v>
      </c>
      <c r="T109">
        <v>17</v>
      </c>
      <c r="U109">
        <v>17</v>
      </c>
      <c r="V109">
        <v>18</v>
      </c>
      <c r="W109">
        <v>18</v>
      </c>
      <c r="X109">
        <v>12</v>
      </c>
      <c r="Y109">
        <v>11</v>
      </c>
      <c r="Z109">
        <f>AVERAGE(Table1[[#This Row],[v2eldonate_nr]:[v2elffelrbin_nr]])</f>
        <v>16.125</v>
      </c>
      <c r="AA10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15.2</v>
      </c>
      <c r="AB109">
        <f>AVERAGE(Table1[[#This Row],[v2elsnlfc_nr]:[v2elsnmrfc_nr]])</f>
        <v>11.5</v>
      </c>
      <c r="AC109">
        <f>Table1[[#This Row],[v2el_avg]]-Table1[[#This Row],[v2elsn_avg]]</f>
        <v>4.625</v>
      </c>
      <c r="AD109" s="4">
        <f>Table1[[#This Row],[v2el_avg2]]-Table1[[#This Row],[v2elsn_avg]]</f>
        <v>3.6999999999999993</v>
      </c>
      <c r="AE109" s="4">
        <f>MAX(Table1[[#This Row],[v2eldonate_nr]:[v2elsnmrfc_nr]])</f>
        <v>18</v>
      </c>
      <c r="AF109" s="4">
        <f>MAX(Table1[[#This Row],[v2elsnlfc_nr]:[v2elsnmrfc_nr]])</f>
        <v>12</v>
      </c>
    </row>
    <row r="110" spans="1:32" x14ac:dyDescent="0.35">
      <c r="A110" t="s">
        <v>4</v>
      </c>
      <c r="B110">
        <v>2008</v>
      </c>
      <c r="C110">
        <v>14</v>
      </c>
      <c r="D110">
        <v>15</v>
      </c>
      <c r="E110">
        <v>15</v>
      </c>
      <c r="F110">
        <v>15</v>
      </c>
      <c r="T110">
        <v>17</v>
      </c>
      <c r="U110">
        <v>17</v>
      </c>
      <c r="V110">
        <v>14</v>
      </c>
      <c r="W110">
        <v>17</v>
      </c>
      <c r="X110">
        <v>9</v>
      </c>
      <c r="Y110">
        <v>9</v>
      </c>
      <c r="Z110">
        <f>AVERAGE(Table1[[#This Row],[v2eldonate_nr]:[v2elffelrbin_nr]])</f>
        <v>15.5</v>
      </c>
      <c r="AA11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14.2</v>
      </c>
      <c r="AB110">
        <f>AVERAGE(Table1[[#This Row],[v2elsnlfc_nr]:[v2elsnmrfc_nr]])</f>
        <v>9</v>
      </c>
      <c r="AC110">
        <f>Table1[[#This Row],[v2el_avg]]-Table1[[#This Row],[v2elsn_avg]]</f>
        <v>6.5</v>
      </c>
      <c r="AD110" s="4">
        <f>Table1[[#This Row],[v2el_avg2]]-Table1[[#This Row],[v2elsn_avg]]</f>
        <v>5.1999999999999993</v>
      </c>
      <c r="AE110" s="4">
        <f>MAX(Table1[[#This Row],[v2eldonate_nr]:[v2elsnmrfc_nr]])</f>
        <v>17</v>
      </c>
      <c r="AF110" s="4">
        <f>MAX(Table1[[#This Row],[v2elsnlfc_nr]:[v2elsnmrfc_nr]])</f>
        <v>9</v>
      </c>
    </row>
    <row r="111" spans="1:32" x14ac:dyDescent="0.35">
      <c r="A111" t="s">
        <v>4</v>
      </c>
      <c r="B111">
        <v>2009</v>
      </c>
      <c r="C111">
        <v>14</v>
      </c>
      <c r="D111">
        <v>15</v>
      </c>
      <c r="E111">
        <v>15</v>
      </c>
      <c r="F111">
        <v>15</v>
      </c>
      <c r="T111">
        <v>17</v>
      </c>
      <c r="U111">
        <v>17</v>
      </c>
      <c r="V111">
        <v>14</v>
      </c>
      <c r="W111">
        <v>17</v>
      </c>
      <c r="X111">
        <v>9</v>
      </c>
      <c r="Y111">
        <v>9</v>
      </c>
      <c r="Z111">
        <f>AVERAGE(Table1[[#This Row],[v2eldonate_nr]:[v2elffelrbin_nr]])</f>
        <v>15.5</v>
      </c>
      <c r="AA11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14.2</v>
      </c>
      <c r="AB111">
        <f>AVERAGE(Table1[[#This Row],[v2elsnlfc_nr]:[v2elsnmrfc_nr]])</f>
        <v>9</v>
      </c>
      <c r="AC111">
        <f>Table1[[#This Row],[v2el_avg]]-Table1[[#This Row],[v2elsn_avg]]</f>
        <v>6.5</v>
      </c>
      <c r="AD111" s="4">
        <f>Table1[[#This Row],[v2el_avg2]]-Table1[[#This Row],[v2elsn_avg]]</f>
        <v>5.1999999999999993</v>
      </c>
      <c r="AE111" s="4">
        <f>MAX(Table1[[#This Row],[v2eldonate_nr]:[v2elsnmrfc_nr]])</f>
        <v>17</v>
      </c>
      <c r="AF111" s="4">
        <f>MAX(Table1[[#This Row],[v2elsnlfc_nr]:[v2elsnmrfc_nr]])</f>
        <v>9</v>
      </c>
    </row>
    <row r="112" spans="1:32" x14ac:dyDescent="0.35">
      <c r="A112" t="s">
        <v>4</v>
      </c>
      <c r="B112">
        <v>2010</v>
      </c>
      <c r="C112">
        <v>18</v>
      </c>
      <c r="D112">
        <v>18</v>
      </c>
      <c r="E112">
        <v>18</v>
      </c>
      <c r="F112">
        <v>18</v>
      </c>
      <c r="G112">
        <v>18</v>
      </c>
      <c r="H112">
        <v>17</v>
      </c>
      <c r="I112">
        <v>18</v>
      </c>
      <c r="J112">
        <v>18</v>
      </c>
      <c r="K112">
        <v>18</v>
      </c>
      <c r="L112">
        <v>18</v>
      </c>
      <c r="M112">
        <v>18</v>
      </c>
      <c r="N112">
        <v>18</v>
      </c>
      <c r="O112">
        <v>18</v>
      </c>
      <c r="P112">
        <v>18</v>
      </c>
      <c r="Q112">
        <v>18</v>
      </c>
      <c r="R112">
        <v>18</v>
      </c>
      <c r="S112">
        <v>18</v>
      </c>
      <c r="T112">
        <v>17</v>
      </c>
      <c r="U112">
        <v>17</v>
      </c>
      <c r="V112">
        <v>14</v>
      </c>
      <c r="W112">
        <v>17</v>
      </c>
      <c r="X112">
        <v>9</v>
      </c>
      <c r="Y112">
        <v>9</v>
      </c>
      <c r="Z112">
        <f>AVERAGE(Table1[[#This Row],[v2eldonate_nr]:[v2elffelrbin_nr]])</f>
        <v>17.61904761904762</v>
      </c>
      <c r="AA11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15.5</v>
      </c>
      <c r="AB112">
        <f>AVERAGE(Table1[[#This Row],[v2elsnlfc_nr]:[v2elsnmrfc_nr]])</f>
        <v>9</v>
      </c>
      <c r="AC112">
        <f>Table1[[#This Row],[v2el_avg]]-Table1[[#This Row],[v2elsn_avg]]</f>
        <v>8.6190476190476204</v>
      </c>
      <c r="AD112" s="4">
        <f>Table1[[#This Row],[v2el_avg2]]-Table1[[#This Row],[v2elsn_avg]]</f>
        <v>6.5</v>
      </c>
      <c r="AE112" s="4">
        <f>MAX(Table1[[#This Row],[v2eldonate_nr]:[v2elsnmrfc_nr]])</f>
        <v>18</v>
      </c>
      <c r="AF112" s="4">
        <f>MAX(Table1[[#This Row],[v2elsnlfc_nr]:[v2elsnmrfc_nr]])</f>
        <v>9</v>
      </c>
    </row>
    <row r="113" spans="1:32" x14ac:dyDescent="0.35">
      <c r="A113" t="s">
        <v>4</v>
      </c>
      <c r="B113">
        <v>2011</v>
      </c>
      <c r="C113">
        <v>15</v>
      </c>
      <c r="D113">
        <v>15</v>
      </c>
      <c r="E113">
        <v>15</v>
      </c>
      <c r="F113">
        <v>15</v>
      </c>
      <c r="T113">
        <v>17</v>
      </c>
      <c r="U113">
        <v>17</v>
      </c>
      <c r="V113">
        <v>18</v>
      </c>
      <c r="W113">
        <v>18</v>
      </c>
      <c r="X113">
        <v>11</v>
      </c>
      <c r="Y113">
        <v>11</v>
      </c>
      <c r="Z113">
        <f>AVERAGE(Table1[[#This Row],[v2eldonate_nr]:[v2elffelrbin_nr]])</f>
        <v>16.25</v>
      </c>
      <c r="AA11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15.2</v>
      </c>
      <c r="AB113">
        <f>AVERAGE(Table1[[#This Row],[v2elsnlfc_nr]:[v2elsnmrfc_nr]])</f>
        <v>11</v>
      </c>
      <c r="AC113">
        <f>Table1[[#This Row],[v2el_avg]]-Table1[[#This Row],[v2elsn_avg]]</f>
        <v>5.25</v>
      </c>
      <c r="AD113" s="4">
        <f>Table1[[#This Row],[v2el_avg2]]-Table1[[#This Row],[v2elsn_avg]]</f>
        <v>4.1999999999999993</v>
      </c>
      <c r="AE113" s="4">
        <f>MAX(Table1[[#This Row],[v2eldonate_nr]:[v2elsnmrfc_nr]])</f>
        <v>18</v>
      </c>
      <c r="AF113" s="4">
        <f>MAX(Table1[[#This Row],[v2elsnlfc_nr]:[v2elsnmrfc_nr]])</f>
        <v>11</v>
      </c>
    </row>
    <row r="114" spans="1:32" x14ac:dyDescent="0.35">
      <c r="A114" t="s">
        <v>4</v>
      </c>
      <c r="B114">
        <v>2012</v>
      </c>
      <c r="C114">
        <v>15</v>
      </c>
      <c r="D114">
        <v>15</v>
      </c>
      <c r="E114">
        <v>15</v>
      </c>
      <c r="F114">
        <v>15</v>
      </c>
      <c r="T114">
        <v>17</v>
      </c>
      <c r="U114">
        <v>17</v>
      </c>
      <c r="V114">
        <v>14</v>
      </c>
      <c r="W114">
        <v>17</v>
      </c>
      <c r="X114">
        <v>9</v>
      </c>
      <c r="Y114">
        <v>9</v>
      </c>
      <c r="Z114">
        <f>AVERAGE(Table1[[#This Row],[v2eldonate_nr]:[v2elffelrbin_nr]])</f>
        <v>15.625</v>
      </c>
      <c r="AA11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14.3</v>
      </c>
      <c r="AB114">
        <f>AVERAGE(Table1[[#This Row],[v2elsnlfc_nr]:[v2elsnmrfc_nr]])</f>
        <v>9</v>
      </c>
      <c r="AC114">
        <f>Table1[[#This Row],[v2el_avg]]-Table1[[#This Row],[v2elsn_avg]]</f>
        <v>6.625</v>
      </c>
      <c r="AD114" s="4">
        <f>Table1[[#This Row],[v2el_avg2]]-Table1[[#This Row],[v2elsn_avg]]</f>
        <v>5.3000000000000007</v>
      </c>
      <c r="AE114" s="4">
        <f>MAX(Table1[[#This Row],[v2eldonate_nr]:[v2elsnmrfc_nr]])</f>
        <v>17</v>
      </c>
      <c r="AF114" s="4">
        <f>MAX(Table1[[#This Row],[v2elsnlfc_nr]:[v2elsnmrfc_nr]])</f>
        <v>9</v>
      </c>
    </row>
    <row r="115" spans="1:32" x14ac:dyDescent="0.35">
      <c r="A115" t="s">
        <v>4</v>
      </c>
      <c r="B115">
        <v>2013</v>
      </c>
      <c r="C115">
        <v>15</v>
      </c>
      <c r="D115">
        <v>15</v>
      </c>
      <c r="E115">
        <v>15</v>
      </c>
      <c r="F115">
        <v>15</v>
      </c>
      <c r="T115">
        <v>14</v>
      </c>
      <c r="U115">
        <v>14</v>
      </c>
      <c r="V115">
        <v>11</v>
      </c>
      <c r="W115">
        <v>14</v>
      </c>
      <c r="X115">
        <v>9</v>
      </c>
      <c r="Y115">
        <v>9</v>
      </c>
      <c r="Z115">
        <f>AVERAGE(Table1[[#This Row],[v2eldonate_nr]:[v2elffelrbin_nr]])</f>
        <v>14.125</v>
      </c>
      <c r="AA115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13.1</v>
      </c>
      <c r="AB115">
        <f>AVERAGE(Table1[[#This Row],[v2elsnlfc_nr]:[v2elsnmrfc_nr]])</f>
        <v>9</v>
      </c>
      <c r="AC115">
        <f>Table1[[#This Row],[v2el_avg]]-Table1[[#This Row],[v2elsn_avg]]</f>
        <v>5.125</v>
      </c>
      <c r="AD115" s="4">
        <f>Table1[[#This Row],[v2el_avg2]]-Table1[[#This Row],[v2elsn_avg]]</f>
        <v>4.0999999999999996</v>
      </c>
      <c r="AE115" s="4">
        <f>MAX(Table1[[#This Row],[v2eldonate_nr]:[v2elsnmrfc_nr]])</f>
        <v>15</v>
      </c>
      <c r="AF115" s="4">
        <f>MAX(Table1[[#This Row],[v2elsnlfc_nr]:[v2elsnmrfc_nr]])</f>
        <v>9</v>
      </c>
    </row>
    <row r="116" spans="1:32" x14ac:dyDescent="0.35">
      <c r="A116" t="s">
        <v>4</v>
      </c>
      <c r="B116">
        <v>2014</v>
      </c>
      <c r="C116">
        <v>15</v>
      </c>
      <c r="D116">
        <v>15</v>
      </c>
      <c r="E116">
        <v>15</v>
      </c>
      <c r="F116">
        <v>15</v>
      </c>
      <c r="G116">
        <v>16</v>
      </c>
      <c r="H116">
        <v>15</v>
      </c>
      <c r="I116">
        <v>15</v>
      </c>
      <c r="J116">
        <v>15</v>
      </c>
      <c r="K116">
        <v>15</v>
      </c>
      <c r="L116">
        <v>15</v>
      </c>
      <c r="M116">
        <v>15</v>
      </c>
      <c r="N116">
        <v>15</v>
      </c>
      <c r="O116">
        <v>14</v>
      </c>
      <c r="P116">
        <v>15</v>
      </c>
      <c r="Q116">
        <v>15</v>
      </c>
      <c r="R116">
        <v>15</v>
      </c>
      <c r="S116">
        <v>15</v>
      </c>
      <c r="T116">
        <v>14</v>
      </c>
      <c r="U116">
        <v>14</v>
      </c>
      <c r="V116">
        <v>11</v>
      </c>
      <c r="W116">
        <v>14</v>
      </c>
      <c r="X116">
        <v>9</v>
      </c>
      <c r="Y116">
        <v>9</v>
      </c>
      <c r="Z116">
        <f>AVERAGE(Table1[[#This Row],[v2eldonate_nr]:[v2elffelrbin_nr]])</f>
        <v>14.666666666666666</v>
      </c>
      <c r="AA116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13.1</v>
      </c>
      <c r="AB116">
        <f>AVERAGE(Table1[[#This Row],[v2elsnlfc_nr]:[v2elsnmrfc_nr]])</f>
        <v>9</v>
      </c>
      <c r="AC116">
        <f>Table1[[#This Row],[v2el_avg]]-Table1[[#This Row],[v2elsn_avg]]</f>
        <v>5.6666666666666661</v>
      </c>
      <c r="AD116" s="4">
        <f>Table1[[#This Row],[v2el_avg2]]-Table1[[#This Row],[v2elsn_avg]]</f>
        <v>4.0999999999999996</v>
      </c>
      <c r="AE116" s="4">
        <f>MAX(Table1[[#This Row],[v2eldonate_nr]:[v2elsnmrfc_nr]])</f>
        <v>16</v>
      </c>
      <c r="AF116" s="4">
        <f>MAX(Table1[[#This Row],[v2elsnlfc_nr]:[v2elsnmrfc_nr]])</f>
        <v>9</v>
      </c>
    </row>
    <row r="117" spans="1:32" x14ac:dyDescent="0.35">
      <c r="A117" t="s">
        <v>4</v>
      </c>
      <c r="B117">
        <v>2015</v>
      </c>
      <c r="C117">
        <v>15</v>
      </c>
      <c r="D117">
        <v>15</v>
      </c>
      <c r="E117">
        <v>15</v>
      </c>
      <c r="F117">
        <v>15</v>
      </c>
      <c r="T117">
        <v>14</v>
      </c>
      <c r="U117">
        <v>14</v>
      </c>
      <c r="V117">
        <v>15</v>
      </c>
      <c r="W117">
        <v>15</v>
      </c>
      <c r="X117">
        <v>11</v>
      </c>
      <c r="Y117">
        <v>11</v>
      </c>
      <c r="Z117">
        <f>AVERAGE(Table1[[#This Row],[v2eldonate_nr]:[v2elffelrbin_nr]])</f>
        <v>14.75</v>
      </c>
      <c r="AA117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14</v>
      </c>
      <c r="AB117">
        <f>AVERAGE(Table1[[#This Row],[v2elsnlfc_nr]:[v2elsnmrfc_nr]])</f>
        <v>11</v>
      </c>
      <c r="AC117">
        <f>Table1[[#This Row],[v2el_avg]]-Table1[[#This Row],[v2elsn_avg]]</f>
        <v>3.75</v>
      </c>
      <c r="AD117" s="4">
        <f>Table1[[#This Row],[v2el_avg2]]-Table1[[#This Row],[v2elsn_avg]]</f>
        <v>3</v>
      </c>
      <c r="AE117" s="4">
        <f>MAX(Table1[[#This Row],[v2eldonate_nr]:[v2elsnmrfc_nr]])</f>
        <v>15</v>
      </c>
      <c r="AF117" s="4">
        <f>MAX(Table1[[#This Row],[v2elsnlfc_nr]:[v2elsnmrfc_nr]])</f>
        <v>11</v>
      </c>
    </row>
    <row r="118" spans="1:32" x14ac:dyDescent="0.35">
      <c r="A118" t="s">
        <v>4</v>
      </c>
      <c r="B118">
        <v>2016</v>
      </c>
      <c r="C118">
        <v>14</v>
      </c>
      <c r="D118">
        <v>14</v>
      </c>
      <c r="E118">
        <v>14</v>
      </c>
      <c r="F118">
        <v>14</v>
      </c>
      <c r="T118">
        <v>13</v>
      </c>
      <c r="U118">
        <v>13</v>
      </c>
      <c r="V118">
        <v>11</v>
      </c>
      <c r="W118">
        <v>13</v>
      </c>
      <c r="X118">
        <v>9</v>
      </c>
      <c r="Y118">
        <v>10</v>
      </c>
      <c r="Z118">
        <f>AVERAGE(Table1[[#This Row],[v2eldonate_nr]:[v2elffelrbin_nr]])</f>
        <v>13.25</v>
      </c>
      <c r="AA118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12.5</v>
      </c>
      <c r="AB118">
        <f>AVERAGE(Table1[[#This Row],[v2elsnlfc_nr]:[v2elsnmrfc_nr]])</f>
        <v>9.5</v>
      </c>
      <c r="AC118">
        <f>Table1[[#This Row],[v2el_avg]]-Table1[[#This Row],[v2elsn_avg]]</f>
        <v>3.75</v>
      </c>
      <c r="AD118" s="4">
        <f>Table1[[#This Row],[v2el_avg2]]-Table1[[#This Row],[v2elsn_avg]]</f>
        <v>3</v>
      </c>
      <c r="AE118" s="4">
        <f>MAX(Table1[[#This Row],[v2eldonate_nr]:[v2elsnmrfc_nr]])</f>
        <v>14</v>
      </c>
      <c r="AF118" s="4">
        <f>MAX(Table1[[#This Row],[v2elsnlfc_nr]:[v2elsnmrfc_nr]])</f>
        <v>10</v>
      </c>
    </row>
    <row r="119" spans="1:32" x14ac:dyDescent="0.35">
      <c r="A119" t="s">
        <v>4</v>
      </c>
      <c r="B119">
        <v>2017</v>
      </c>
      <c r="C119">
        <v>14</v>
      </c>
      <c r="D119">
        <v>14</v>
      </c>
      <c r="E119">
        <v>14</v>
      </c>
      <c r="F119">
        <v>14</v>
      </c>
      <c r="T119">
        <v>12</v>
      </c>
      <c r="U119">
        <v>12</v>
      </c>
      <c r="V119">
        <v>10</v>
      </c>
      <c r="W119">
        <v>12</v>
      </c>
      <c r="X119">
        <v>10</v>
      </c>
      <c r="Y119">
        <v>9</v>
      </c>
      <c r="Z119">
        <f>AVERAGE(Table1[[#This Row],[v2eldonate_nr]:[v2elffelrbin_nr]])</f>
        <v>12.75</v>
      </c>
      <c r="AA119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12.1</v>
      </c>
      <c r="AB119">
        <f>AVERAGE(Table1[[#This Row],[v2elsnlfc_nr]:[v2elsnmrfc_nr]])</f>
        <v>9.5</v>
      </c>
      <c r="AC119">
        <f>Table1[[#This Row],[v2el_avg]]-Table1[[#This Row],[v2elsn_avg]]</f>
        <v>3.25</v>
      </c>
      <c r="AD119" s="4">
        <f>Table1[[#This Row],[v2el_avg2]]-Table1[[#This Row],[v2elsn_avg]]</f>
        <v>2.5999999999999996</v>
      </c>
      <c r="AE119" s="4">
        <f>MAX(Table1[[#This Row],[v2eldonate_nr]:[v2elsnmrfc_nr]])</f>
        <v>14</v>
      </c>
      <c r="AF119" s="4">
        <f>MAX(Table1[[#This Row],[v2elsnlfc_nr]:[v2elsnmrfc_nr]])</f>
        <v>10</v>
      </c>
    </row>
    <row r="120" spans="1:32" x14ac:dyDescent="0.35">
      <c r="A120" t="s">
        <v>4</v>
      </c>
      <c r="B120">
        <v>2018</v>
      </c>
      <c r="C120">
        <v>12</v>
      </c>
      <c r="D120">
        <v>12</v>
      </c>
      <c r="E120">
        <v>12</v>
      </c>
      <c r="F120">
        <v>12</v>
      </c>
      <c r="G120">
        <v>13</v>
      </c>
      <c r="H120">
        <v>12</v>
      </c>
      <c r="I120">
        <v>12</v>
      </c>
      <c r="J120">
        <v>12</v>
      </c>
      <c r="K120">
        <v>12</v>
      </c>
      <c r="L120">
        <v>12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11</v>
      </c>
      <c r="U120">
        <v>11</v>
      </c>
      <c r="V120">
        <v>9</v>
      </c>
      <c r="W120">
        <v>11</v>
      </c>
      <c r="X120">
        <v>8</v>
      </c>
      <c r="Y120">
        <v>9</v>
      </c>
      <c r="Z120">
        <f>AVERAGE(Table1[[#This Row],[v2eldonate_nr]:[v2elffelrbin_nr]])</f>
        <v>11.761904761904763</v>
      </c>
      <c r="AA120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10.7</v>
      </c>
      <c r="AB120">
        <f>AVERAGE(Table1[[#This Row],[v2elsnlfc_nr]:[v2elsnmrfc_nr]])</f>
        <v>8.5</v>
      </c>
      <c r="AC120">
        <f>Table1[[#This Row],[v2el_avg]]-Table1[[#This Row],[v2elsn_avg]]</f>
        <v>3.2619047619047628</v>
      </c>
      <c r="AD120" s="4">
        <f>Table1[[#This Row],[v2el_avg2]]-Table1[[#This Row],[v2elsn_avg]]</f>
        <v>2.1999999999999993</v>
      </c>
      <c r="AE120" s="4">
        <f>MAX(Table1[[#This Row],[v2eldonate_nr]:[v2elsnmrfc_nr]])</f>
        <v>13</v>
      </c>
      <c r="AF120" s="4">
        <f>MAX(Table1[[#This Row],[v2elsnlfc_nr]:[v2elsnmrfc_nr]])</f>
        <v>9</v>
      </c>
    </row>
    <row r="121" spans="1:32" x14ac:dyDescent="0.35">
      <c r="A121" t="s">
        <v>4</v>
      </c>
      <c r="B121">
        <v>2019</v>
      </c>
      <c r="C121">
        <v>12</v>
      </c>
      <c r="D121">
        <v>12</v>
      </c>
      <c r="E121">
        <v>11</v>
      </c>
      <c r="F121">
        <v>11</v>
      </c>
      <c r="T121">
        <v>10</v>
      </c>
      <c r="U121">
        <v>10</v>
      </c>
      <c r="V121">
        <v>11</v>
      </c>
      <c r="W121">
        <v>11</v>
      </c>
      <c r="X121">
        <v>9</v>
      </c>
      <c r="Y121">
        <v>9</v>
      </c>
      <c r="Z121">
        <f>AVERAGE(Table1[[#This Row],[v2eldonate_nr]:[v2elffelrbin_nr]])</f>
        <v>11</v>
      </c>
      <c r="AA121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10.6</v>
      </c>
      <c r="AB121">
        <f>AVERAGE(Table1[[#This Row],[v2elsnlfc_nr]:[v2elsnmrfc_nr]])</f>
        <v>9</v>
      </c>
      <c r="AC121">
        <f>Table1[[#This Row],[v2el_avg]]-Table1[[#This Row],[v2elsn_avg]]</f>
        <v>2</v>
      </c>
      <c r="AD121" s="4">
        <f>Table1[[#This Row],[v2el_avg2]]-Table1[[#This Row],[v2elsn_avg]]</f>
        <v>1.5999999999999996</v>
      </c>
      <c r="AE121" s="4">
        <f>MAX(Table1[[#This Row],[v2eldonate_nr]:[v2elsnmrfc_nr]])</f>
        <v>12</v>
      </c>
      <c r="AF121" s="4">
        <f>MAX(Table1[[#This Row],[v2elsnlfc_nr]:[v2elsnmrfc_nr]])</f>
        <v>9</v>
      </c>
    </row>
    <row r="122" spans="1:32" x14ac:dyDescent="0.35">
      <c r="A122" t="s">
        <v>4</v>
      </c>
      <c r="B122">
        <v>2020</v>
      </c>
      <c r="C122">
        <v>10</v>
      </c>
      <c r="D122">
        <v>10</v>
      </c>
      <c r="E122">
        <v>10</v>
      </c>
      <c r="F122">
        <v>10</v>
      </c>
      <c r="T122">
        <v>9</v>
      </c>
      <c r="U122">
        <v>9</v>
      </c>
      <c r="V122">
        <v>7</v>
      </c>
      <c r="W122">
        <v>9</v>
      </c>
      <c r="X122">
        <v>5</v>
      </c>
      <c r="Y122">
        <v>5</v>
      </c>
      <c r="Z122">
        <f>AVERAGE(Table1[[#This Row],[v2eldonate_nr]:[v2elffelrbin_nr]])</f>
        <v>9.25</v>
      </c>
      <c r="AA122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8.4</v>
      </c>
      <c r="AB122">
        <f>AVERAGE(Table1[[#This Row],[v2elsnlfc_nr]:[v2elsnmrfc_nr]])</f>
        <v>5</v>
      </c>
      <c r="AC122">
        <f>Table1[[#This Row],[v2el_avg]]-Table1[[#This Row],[v2elsn_avg]]</f>
        <v>4.25</v>
      </c>
      <c r="AD122" s="4">
        <f>Table1[[#This Row],[v2el_avg2]]-Table1[[#This Row],[v2elsn_avg]]</f>
        <v>3.4000000000000004</v>
      </c>
      <c r="AE122" s="4">
        <f>MAX(Table1[[#This Row],[v2eldonate_nr]:[v2elsnmrfc_nr]])</f>
        <v>10</v>
      </c>
      <c r="AF122" s="4">
        <f>MAX(Table1[[#This Row],[v2elsnlfc_nr]:[v2elsnmrfc_nr]])</f>
        <v>5</v>
      </c>
    </row>
    <row r="123" spans="1:32" x14ac:dyDescent="0.35">
      <c r="A123" t="s">
        <v>4</v>
      </c>
      <c r="B123">
        <v>2021</v>
      </c>
      <c r="C123">
        <v>8</v>
      </c>
      <c r="D123">
        <v>8</v>
      </c>
      <c r="E123">
        <v>8</v>
      </c>
      <c r="F123">
        <v>8</v>
      </c>
      <c r="T123">
        <v>7</v>
      </c>
      <c r="U123">
        <v>7</v>
      </c>
      <c r="V123">
        <v>5</v>
      </c>
      <c r="W123">
        <v>7</v>
      </c>
      <c r="X123">
        <v>3</v>
      </c>
      <c r="Y123">
        <v>3</v>
      </c>
      <c r="Z123">
        <f>AVERAGE(Table1[[#This Row],[v2eldonate_nr]:[v2elffelrbin_nr]])</f>
        <v>7.25</v>
      </c>
      <c r="AA123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6.4</v>
      </c>
      <c r="AB123">
        <f>AVERAGE(Table1[[#This Row],[v2elsnlfc_nr]:[v2elsnmrfc_nr]])</f>
        <v>3</v>
      </c>
      <c r="AC123">
        <f>Table1[[#This Row],[v2el_avg]]-Table1[[#This Row],[v2elsn_avg]]</f>
        <v>4.25</v>
      </c>
      <c r="AD123" s="4">
        <f>Table1[[#This Row],[v2el_avg2]]-Table1[[#This Row],[v2elsn_avg]]</f>
        <v>3.4000000000000004</v>
      </c>
      <c r="AE123" s="4">
        <f>MAX(Table1[[#This Row],[v2eldonate_nr]:[v2elsnmrfc_nr]])</f>
        <v>8</v>
      </c>
      <c r="AF123" s="4">
        <f>MAX(Table1[[#This Row],[v2elsnlfc_nr]:[v2elsnmrfc_nr]])</f>
        <v>3</v>
      </c>
    </row>
    <row r="124" spans="1:32" x14ac:dyDescent="0.35">
      <c r="A124" t="s">
        <v>4</v>
      </c>
      <c r="B124">
        <v>2022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6</v>
      </c>
      <c r="N124">
        <v>6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3</v>
      </c>
      <c r="W124">
        <v>6</v>
      </c>
      <c r="X124">
        <v>2</v>
      </c>
      <c r="Y124">
        <v>2</v>
      </c>
      <c r="Z124">
        <f>AVERAGE(Table1[[#This Row],[v2eldonate_nr]:[v2elffelrbin_nr]])</f>
        <v>5.8571428571428568</v>
      </c>
      <c r="AA124">
        <f>(Table1[[#This Row],[v2eldonate_nr]]+Table1[[#This Row],[v2elpubfin_nr]]+Table1[[#This Row],[v2elembaut_nr]]+Table1[[#This Row],[v2elembcap_nr]]+Table1[[#This Row],[v2elrgpwr_nr]]+Table1[[#This Row],[v2ellocpwr_nr]]+Table1[[#This Row],[v2elffelr_nr]]+Table1[[#This Row],[v2elffelrbin_nr]]+Table1[[#This Row],[v2elsnlfc_nr]]+Table1[[#This Row],[v2elsnmrfc_nr]])/10</f>
        <v>4.9000000000000004</v>
      </c>
      <c r="AB124">
        <f>AVERAGE(Table1[[#This Row],[v2elsnlfc_nr]:[v2elsnmrfc_nr]])</f>
        <v>2</v>
      </c>
      <c r="AC124">
        <f>Table1[[#This Row],[v2el_avg]]-Table1[[#This Row],[v2elsn_avg]]</f>
        <v>3.8571428571428568</v>
      </c>
      <c r="AD124" s="4">
        <f>Table1[[#This Row],[v2el_avg2]]-Table1[[#This Row],[v2elsn_avg]]</f>
        <v>2.9000000000000004</v>
      </c>
      <c r="AE124" s="4">
        <f>MAX(Table1[[#This Row],[v2eldonate_nr]:[v2elsnmrfc_nr]])</f>
        <v>6</v>
      </c>
      <c r="AF124" s="4">
        <f>MAX(Table1[[#This Row],[v2elsnlfc_nr]:[v2elsnmrfc_nr]])</f>
        <v>2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2486-02AC-4A81-A219-620AE63E1C00}">
  <dimension ref="A1:AE124"/>
  <sheetViews>
    <sheetView workbookViewId="0">
      <selection sqref="A1:XFD1"/>
    </sheetView>
  </sheetViews>
  <sheetFormatPr defaultRowHeight="14.5" x14ac:dyDescent="0.35"/>
  <cols>
    <col min="1" max="1" width="15" customWidth="1"/>
    <col min="3" max="3" width="12" customWidth="1"/>
    <col min="4" max="4" width="11.453125" customWidth="1"/>
    <col min="5" max="5" width="14.90625" customWidth="1"/>
    <col min="6" max="6" width="13.90625" customWidth="1"/>
    <col min="7" max="7" width="14.1796875" customWidth="1"/>
    <col min="8" max="8" width="13" customWidth="1"/>
    <col min="9" max="9" width="14.36328125" customWidth="1"/>
    <col min="10" max="10" width="14.1796875" customWidth="1"/>
    <col min="11" max="11" width="13.81640625" customWidth="1"/>
    <col min="12" max="12" width="14.36328125" customWidth="1"/>
    <col min="13" max="13" width="14.7265625" customWidth="1"/>
    <col min="14" max="14" width="13.90625" customWidth="1"/>
    <col min="15" max="16" width="13.36328125" customWidth="1"/>
    <col min="17" max="17" width="13.81640625" customWidth="1"/>
    <col min="18" max="18" width="13.6328125" customWidth="1"/>
    <col min="19" max="19" width="14.1796875" customWidth="1"/>
    <col min="20" max="20" width="12.7265625" customWidth="1"/>
    <col min="21" max="21" width="14.36328125" customWidth="1"/>
    <col min="22" max="22" width="16.36328125" customWidth="1"/>
    <col min="23" max="23" width="16.26953125" customWidth="1"/>
    <col min="24" max="24" width="14.08984375" customWidth="1"/>
    <col min="25" max="25" width="15" customWidth="1"/>
    <col min="26" max="26" width="14.90625" customWidth="1"/>
  </cols>
  <sheetData>
    <row r="1" spans="1:31" x14ac:dyDescent="0.35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s="8" t="s">
        <v>38</v>
      </c>
      <c r="Z1" s="8" t="s">
        <v>39</v>
      </c>
      <c r="AA1" s="7" t="s">
        <v>55</v>
      </c>
      <c r="AB1" s="7" t="s">
        <v>56</v>
      </c>
      <c r="AC1" s="7" t="s">
        <v>57</v>
      </c>
      <c r="AD1" s="7" t="s">
        <v>62</v>
      </c>
      <c r="AE1" s="7" t="s">
        <v>63</v>
      </c>
    </row>
    <row r="2" spans="1:31" x14ac:dyDescent="0.35">
      <c r="A2" t="s">
        <v>4</v>
      </c>
      <c r="B2">
        <v>1900</v>
      </c>
      <c r="C2">
        <v>6</v>
      </c>
      <c r="D2">
        <v>6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6</v>
      </c>
      <c r="N2">
        <v>5</v>
      </c>
      <c r="O2">
        <v>6</v>
      </c>
      <c r="P2">
        <v>6</v>
      </c>
      <c r="Q2">
        <v>6</v>
      </c>
      <c r="R2">
        <v>6</v>
      </c>
      <c r="S2">
        <v>6</v>
      </c>
      <c r="T2">
        <v>6</v>
      </c>
      <c r="U2">
        <v>6</v>
      </c>
      <c r="V2">
        <v>6</v>
      </c>
      <c r="W2">
        <v>6</v>
      </c>
      <c r="X2">
        <v>6</v>
      </c>
      <c r="Y2" s="3">
        <v>3</v>
      </c>
      <c r="Z2" s="3">
        <v>3</v>
      </c>
      <c r="AA2">
        <f>AVERAGE(Table13[[#This Row],[v2cltort_nr]:[v2clprptyw_nr]])</f>
        <v>5.9545454545454541</v>
      </c>
      <c r="AB2">
        <f>AVERAGE(Table13[[#This Row],[v2clrgstch_nr]:[v2clrgwkch_nr]])</f>
        <v>3</v>
      </c>
      <c r="AC2">
        <f>Table13[[#This Row],[v2cl_avg]]-Table13[[#This Row],[v2clsn_avg]]</f>
        <v>2.9545454545454541</v>
      </c>
      <c r="AD2" s="4">
        <f>MAX(Table13[[#This Row],[v2cltort_nr]:[v2clrgwkch_nr]])</f>
        <v>6</v>
      </c>
      <c r="AE2" s="4">
        <f>MAX(Table13[[#This Row],[v2clrgstch_nr]:[v2clrgwkch_nr]])</f>
        <v>3</v>
      </c>
    </row>
    <row r="3" spans="1:31" x14ac:dyDescent="0.35">
      <c r="A3" t="s">
        <v>4</v>
      </c>
      <c r="B3">
        <v>1901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  <c r="I3">
        <v>6</v>
      </c>
      <c r="J3">
        <v>6</v>
      </c>
      <c r="K3">
        <v>6</v>
      </c>
      <c r="L3">
        <v>6</v>
      </c>
      <c r="M3">
        <v>6</v>
      </c>
      <c r="N3">
        <v>5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 s="3">
        <v>3</v>
      </c>
      <c r="Z3" s="3">
        <v>3</v>
      </c>
      <c r="AA3">
        <f>AVERAGE(Table13[[#This Row],[v2cltort_nr]:[v2clprptyw_nr]])</f>
        <v>5.9545454545454541</v>
      </c>
      <c r="AB3">
        <f>AVERAGE(Table13[[#This Row],[v2clrgstch_nr]:[v2clrgwkch_nr]])</f>
        <v>3</v>
      </c>
      <c r="AC3">
        <f>Table13[[#This Row],[v2cl_avg]]-Table13[[#This Row],[v2clsn_avg]]</f>
        <v>2.9545454545454541</v>
      </c>
      <c r="AD3" s="4">
        <f>MAX(Table13[[#This Row],[v2cltort_nr]:[v2clrgwkch_nr]])</f>
        <v>6</v>
      </c>
      <c r="AE3" s="4">
        <f>MAX(Table13[[#This Row],[v2clrgstch_nr]:[v2clrgwkch_nr]])</f>
        <v>3</v>
      </c>
    </row>
    <row r="4" spans="1:31" x14ac:dyDescent="0.35">
      <c r="A4" t="s">
        <v>4</v>
      </c>
      <c r="B4">
        <v>1902</v>
      </c>
      <c r="C4">
        <v>6</v>
      </c>
      <c r="D4">
        <v>6</v>
      </c>
      <c r="E4">
        <v>6</v>
      </c>
      <c r="F4">
        <v>6</v>
      </c>
      <c r="G4">
        <v>6</v>
      </c>
      <c r="H4">
        <v>6</v>
      </c>
      <c r="I4">
        <v>6</v>
      </c>
      <c r="J4">
        <v>6</v>
      </c>
      <c r="K4">
        <v>6</v>
      </c>
      <c r="L4">
        <v>6</v>
      </c>
      <c r="M4">
        <v>6</v>
      </c>
      <c r="N4">
        <v>5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 s="3">
        <v>3</v>
      </c>
      <c r="Z4" s="3">
        <v>3</v>
      </c>
      <c r="AA4">
        <f>AVERAGE(Table13[[#This Row],[v2cltort_nr]:[v2clprptyw_nr]])</f>
        <v>5.9545454545454541</v>
      </c>
      <c r="AB4">
        <f>AVERAGE(Table13[[#This Row],[v2clrgstch_nr]:[v2clrgwkch_nr]])</f>
        <v>3</v>
      </c>
      <c r="AC4">
        <f>Table13[[#This Row],[v2cl_avg]]-Table13[[#This Row],[v2clsn_avg]]</f>
        <v>2.9545454545454541</v>
      </c>
      <c r="AD4" s="4">
        <f>MAX(Table13[[#This Row],[v2cltort_nr]:[v2clrgwkch_nr]])</f>
        <v>6</v>
      </c>
      <c r="AE4" s="4">
        <f>MAX(Table13[[#This Row],[v2clrgstch_nr]:[v2clrgwkch_nr]])</f>
        <v>3</v>
      </c>
    </row>
    <row r="5" spans="1:31" x14ac:dyDescent="0.35">
      <c r="A5" t="s">
        <v>4</v>
      </c>
      <c r="B5">
        <v>1903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  <c r="I5">
        <v>6</v>
      </c>
      <c r="J5">
        <v>6</v>
      </c>
      <c r="K5">
        <v>6</v>
      </c>
      <c r="L5">
        <v>6</v>
      </c>
      <c r="M5">
        <v>6</v>
      </c>
      <c r="N5">
        <v>5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 s="3">
        <v>3</v>
      </c>
      <c r="Z5" s="3">
        <v>3</v>
      </c>
      <c r="AA5">
        <f>AVERAGE(Table13[[#This Row],[v2cltort_nr]:[v2clprptyw_nr]])</f>
        <v>5.9545454545454541</v>
      </c>
      <c r="AB5">
        <f>AVERAGE(Table13[[#This Row],[v2clrgstch_nr]:[v2clrgwkch_nr]])</f>
        <v>3</v>
      </c>
      <c r="AC5">
        <f>Table13[[#This Row],[v2cl_avg]]-Table13[[#This Row],[v2clsn_avg]]</f>
        <v>2.9545454545454541</v>
      </c>
      <c r="AD5" s="4">
        <f>MAX(Table13[[#This Row],[v2cltort_nr]:[v2clrgwkch_nr]])</f>
        <v>6</v>
      </c>
      <c r="AE5" s="4">
        <f>MAX(Table13[[#This Row],[v2clrgstch_nr]:[v2clrgwkch_nr]])</f>
        <v>3</v>
      </c>
    </row>
    <row r="6" spans="1:31" x14ac:dyDescent="0.35">
      <c r="A6" t="s">
        <v>4</v>
      </c>
      <c r="B6">
        <v>1904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J6">
        <v>6</v>
      </c>
      <c r="K6">
        <v>6</v>
      </c>
      <c r="L6">
        <v>6</v>
      </c>
      <c r="M6">
        <v>6</v>
      </c>
      <c r="N6">
        <v>5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 s="3">
        <v>3</v>
      </c>
      <c r="Z6" s="3">
        <v>3</v>
      </c>
      <c r="AA6">
        <f>AVERAGE(Table13[[#This Row],[v2cltort_nr]:[v2clprptyw_nr]])</f>
        <v>5.9545454545454541</v>
      </c>
      <c r="AB6">
        <f>AVERAGE(Table13[[#This Row],[v2clrgstch_nr]:[v2clrgwkch_nr]])</f>
        <v>3</v>
      </c>
      <c r="AC6">
        <f>Table13[[#This Row],[v2cl_avg]]-Table13[[#This Row],[v2clsn_avg]]</f>
        <v>2.9545454545454541</v>
      </c>
      <c r="AD6" s="4">
        <f>MAX(Table13[[#This Row],[v2cltort_nr]:[v2clrgwkch_nr]])</f>
        <v>6</v>
      </c>
      <c r="AE6" s="4">
        <f>MAX(Table13[[#This Row],[v2clrgstch_nr]:[v2clrgwkch_nr]])</f>
        <v>3</v>
      </c>
    </row>
    <row r="7" spans="1:31" x14ac:dyDescent="0.35">
      <c r="A7" t="s">
        <v>4</v>
      </c>
      <c r="B7">
        <v>1905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  <c r="I7">
        <v>6</v>
      </c>
      <c r="J7">
        <v>6</v>
      </c>
      <c r="K7">
        <v>6</v>
      </c>
      <c r="L7">
        <v>6</v>
      </c>
      <c r="M7">
        <v>6</v>
      </c>
      <c r="N7">
        <v>5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 s="3">
        <v>3</v>
      </c>
      <c r="Z7" s="3">
        <v>3</v>
      </c>
      <c r="AA7">
        <f>AVERAGE(Table13[[#This Row],[v2cltort_nr]:[v2clprptyw_nr]])</f>
        <v>5.9545454545454541</v>
      </c>
      <c r="AB7">
        <f>AVERAGE(Table13[[#This Row],[v2clrgstch_nr]:[v2clrgwkch_nr]])</f>
        <v>3</v>
      </c>
      <c r="AC7">
        <f>Table13[[#This Row],[v2cl_avg]]-Table13[[#This Row],[v2clsn_avg]]</f>
        <v>2.9545454545454541</v>
      </c>
      <c r="AD7" s="4">
        <f>MAX(Table13[[#This Row],[v2cltort_nr]:[v2clrgwkch_nr]])</f>
        <v>6</v>
      </c>
      <c r="AE7" s="4">
        <f>MAX(Table13[[#This Row],[v2clrgstch_nr]:[v2clrgwkch_nr]])</f>
        <v>3</v>
      </c>
    </row>
    <row r="8" spans="1:31" x14ac:dyDescent="0.35">
      <c r="A8" t="s">
        <v>4</v>
      </c>
      <c r="B8">
        <v>1906</v>
      </c>
      <c r="C8">
        <v>6</v>
      </c>
      <c r="D8">
        <v>6</v>
      </c>
      <c r="E8">
        <v>6</v>
      </c>
      <c r="F8">
        <v>6</v>
      </c>
      <c r="G8">
        <v>6</v>
      </c>
      <c r="H8">
        <v>6</v>
      </c>
      <c r="I8">
        <v>6</v>
      </c>
      <c r="J8">
        <v>6</v>
      </c>
      <c r="K8">
        <v>6</v>
      </c>
      <c r="L8">
        <v>6</v>
      </c>
      <c r="M8">
        <v>6</v>
      </c>
      <c r="N8">
        <v>5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 s="3">
        <v>3</v>
      </c>
      <c r="Z8" s="3">
        <v>3</v>
      </c>
      <c r="AA8">
        <f>AVERAGE(Table13[[#This Row],[v2cltort_nr]:[v2clprptyw_nr]])</f>
        <v>5.9545454545454541</v>
      </c>
      <c r="AB8">
        <f>AVERAGE(Table13[[#This Row],[v2clrgstch_nr]:[v2clrgwkch_nr]])</f>
        <v>3</v>
      </c>
      <c r="AC8">
        <f>Table13[[#This Row],[v2cl_avg]]-Table13[[#This Row],[v2clsn_avg]]</f>
        <v>2.9545454545454541</v>
      </c>
      <c r="AD8" s="4">
        <f>MAX(Table13[[#This Row],[v2cltort_nr]:[v2clrgwkch_nr]])</f>
        <v>6</v>
      </c>
      <c r="AE8" s="4">
        <f>MAX(Table13[[#This Row],[v2clrgstch_nr]:[v2clrgwkch_nr]])</f>
        <v>3</v>
      </c>
    </row>
    <row r="9" spans="1:31" x14ac:dyDescent="0.35">
      <c r="A9" t="s">
        <v>4</v>
      </c>
      <c r="B9">
        <v>1907</v>
      </c>
      <c r="C9">
        <v>6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6</v>
      </c>
      <c r="K9">
        <v>6</v>
      </c>
      <c r="L9">
        <v>6</v>
      </c>
      <c r="M9">
        <v>6</v>
      </c>
      <c r="N9">
        <v>5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 s="3">
        <v>3</v>
      </c>
      <c r="Z9" s="3">
        <v>3</v>
      </c>
      <c r="AA9">
        <f>AVERAGE(Table13[[#This Row],[v2cltort_nr]:[v2clprptyw_nr]])</f>
        <v>5.9545454545454541</v>
      </c>
      <c r="AB9">
        <f>AVERAGE(Table13[[#This Row],[v2clrgstch_nr]:[v2clrgwkch_nr]])</f>
        <v>3</v>
      </c>
      <c r="AC9">
        <f>Table13[[#This Row],[v2cl_avg]]-Table13[[#This Row],[v2clsn_avg]]</f>
        <v>2.9545454545454541</v>
      </c>
      <c r="AD9" s="4">
        <f>MAX(Table13[[#This Row],[v2cltort_nr]:[v2clrgwkch_nr]])</f>
        <v>6</v>
      </c>
      <c r="AE9" s="4">
        <f>MAX(Table13[[#This Row],[v2clrgstch_nr]:[v2clrgwkch_nr]])</f>
        <v>3</v>
      </c>
    </row>
    <row r="10" spans="1:31" x14ac:dyDescent="0.35">
      <c r="A10" t="s">
        <v>4</v>
      </c>
      <c r="B10">
        <v>1908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6</v>
      </c>
      <c r="M10">
        <v>6</v>
      </c>
      <c r="N10">
        <v>5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 s="3">
        <v>3</v>
      </c>
      <c r="Z10" s="3">
        <v>3</v>
      </c>
      <c r="AA10">
        <f>AVERAGE(Table13[[#This Row],[v2cltort_nr]:[v2clprptyw_nr]])</f>
        <v>5.9545454545454541</v>
      </c>
      <c r="AB10">
        <f>AVERAGE(Table13[[#This Row],[v2clrgstch_nr]:[v2clrgwkch_nr]])</f>
        <v>3</v>
      </c>
      <c r="AC10">
        <f>Table13[[#This Row],[v2cl_avg]]-Table13[[#This Row],[v2clsn_avg]]</f>
        <v>2.9545454545454541</v>
      </c>
      <c r="AD10" s="4">
        <f>MAX(Table13[[#This Row],[v2cltort_nr]:[v2clrgwkch_nr]])</f>
        <v>6</v>
      </c>
      <c r="AE10" s="4">
        <f>MAX(Table13[[#This Row],[v2clrgstch_nr]:[v2clrgwkch_nr]])</f>
        <v>3</v>
      </c>
    </row>
    <row r="11" spans="1:31" x14ac:dyDescent="0.35">
      <c r="A11" t="s">
        <v>4</v>
      </c>
      <c r="B11">
        <v>1909</v>
      </c>
      <c r="C11">
        <v>6</v>
      </c>
      <c r="D11">
        <v>6</v>
      </c>
      <c r="E11">
        <v>6</v>
      </c>
      <c r="F11">
        <v>6</v>
      </c>
      <c r="G11">
        <v>6</v>
      </c>
      <c r="H11">
        <v>6</v>
      </c>
      <c r="I11">
        <v>6</v>
      </c>
      <c r="J11">
        <v>6</v>
      </c>
      <c r="K11">
        <v>6</v>
      </c>
      <c r="L11">
        <v>6</v>
      </c>
      <c r="M11">
        <v>6</v>
      </c>
      <c r="N11">
        <v>5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  <c r="X11">
        <v>6</v>
      </c>
      <c r="Y11" s="3">
        <v>3</v>
      </c>
      <c r="Z11" s="3">
        <v>3</v>
      </c>
      <c r="AA11">
        <f>AVERAGE(Table13[[#This Row],[v2cltort_nr]:[v2clprptyw_nr]])</f>
        <v>5.9545454545454541</v>
      </c>
      <c r="AB11">
        <f>AVERAGE(Table13[[#This Row],[v2clrgstch_nr]:[v2clrgwkch_nr]])</f>
        <v>3</v>
      </c>
      <c r="AC11">
        <f>Table13[[#This Row],[v2cl_avg]]-Table13[[#This Row],[v2clsn_avg]]</f>
        <v>2.9545454545454541</v>
      </c>
      <c r="AD11" s="4">
        <f>MAX(Table13[[#This Row],[v2cltort_nr]:[v2clrgwkch_nr]])</f>
        <v>6</v>
      </c>
      <c r="AE11" s="4">
        <f>MAX(Table13[[#This Row],[v2clrgstch_nr]:[v2clrgwkch_nr]])</f>
        <v>3</v>
      </c>
    </row>
    <row r="12" spans="1:31" x14ac:dyDescent="0.35">
      <c r="A12" t="s">
        <v>4</v>
      </c>
      <c r="B12">
        <v>1910</v>
      </c>
      <c r="C12">
        <v>6</v>
      </c>
      <c r="D12">
        <v>6</v>
      </c>
      <c r="E12">
        <v>6</v>
      </c>
      <c r="F12">
        <v>6</v>
      </c>
      <c r="G12">
        <v>6</v>
      </c>
      <c r="H12">
        <v>6</v>
      </c>
      <c r="I12">
        <v>6</v>
      </c>
      <c r="J12">
        <v>6</v>
      </c>
      <c r="K12">
        <v>6</v>
      </c>
      <c r="L12">
        <v>6</v>
      </c>
      <c r="M12">
        <v>6</v>
      </c>
      <c r="N12">
        <v>5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 s="3">
        <v>3</v>
      </c>
      <c r="Z12" s="3">
        <v>3</v>
      </c>
      <c r="AA12">
        <f>AVERAGE(Table13[[#This Row],[v2cltort_nr]:[v2clprptyw_nr]])</f>
        <v>5.9545454545454541</v>
      </c>
      <c r="AB12">
        <f>AVERAGE(Table13[[#This Row],[v2clrgstch_nr]:[v2clrgwkch_nr]])</f>
        <v>3</v>
      </c>
      <c r="AC12">
        <f>Table13[[#This Row],[v2cl_avg]]-Table13[[#This Row],[v2clsn_avg]]</f>
        <v>2.9545454545454541</v>
      </c>
      <c r="AD12" s="4">
        <f>MAX(Table13[[#This Row],[v2cltort_nr]:[v2clrgwkch_nr]])</f>
        <v>6</v>
      </c>
      <c r="AE12" s="4">
        <f>MAX(Table13[[#This Row],[v2clrgstch_nr]:[v2clrgwkch_nr]])</f>
        <v>3</v>
      </c>
    </row>
    <row r="13" spans="1:31" x14ac:dyDescent="0.35">
      <c r="A13" t="s">
        <v>4</v>
      </c>
      <c r="B13">
        <v>1911</v>
      </c>
      <c r="C13">
        <v>6</v>
      </c>
      <c r="D13">
        <v>6</v>
      </c>
      <c r="E13">
        <v>6</v>
      </c>
      <c r="F13">
        <v>6</v>
      </c>
      <c r="G13">
        <v>6</v>
      </c>
      <c r="H13">
        <v>6</v>
      </c>
      <c r="I13">
        <v>6</v>
      </c>
      <c r="J13">
        <v>6</v>
      </c>
      <c r="K13">
        <v>6</v>
      </c>
      <c r="L13">
        <v>6</v>
      </c>
      <c r="M13">
        <v>6</v>
      </c>
      <c r="N13">
        <v>5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 s="3">
        <v>3</v>
      </c>
      <c r="Z13" s="3">
        <v>3</v>
      </c>
      <c r="AA13">
        <f>AVERAGE(Table13[[#This Row],[v2cltort_nr]:[v2clprptyw_nr]])</f>
        <v>5.9545454545454541</v>
      </c>
      <c r="AB13">
        <f>AVERAGE(Table13[[#This Row],[v2clrgstch_nr]:[v2clrgwkch_nr]])</f>
        <v>3</v>
      </c>
      <c r="AC13">
        <f>Table13[[#This Row],[v2cl_avg]]-Table13[[#This Row],[v2clsn_avg]]</f>
        <v>2.9545454545454541</v>
      </c>
      <c r="AD13" s="4">
        <f>MAX(Table13[[#This Row],[v2cltort_nr]:[v2clrgwkch_nr]])</f>
        <v>6</v>
      </c>
      <c r="AE13" s="4">
        <f>MAX(Table13[[#This Row],[v2clrgstch_nr]:[v2clrgwkch_nr]])</f>
        <v>3</v>
      </c>
    </row>
    <row r="14" spans="1:31" x14ac:dyDescent="0.35">
      <c r="A14" t="s">
        <v>4</v>
      </c>
      <c r="B14">
        <v>1912</v>
      </c>
      <c r="C14">
        <v>6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5</v>
      </c>
      <c r="O14">
        <v>6</v>
      </c>
      <c r="P14">
        <v>6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 s="3">
        <v>3</v>
      </c>
      <c r="Z14" s="3">
        <v>3</v>
      </c>
      <c r="AA14">
        <f>AVERAGE(Table13[[#This Row],[v2cltort_nr]:[v2clprptyw_nr]])</f>
        <v>5.9545454545454541</v>
      </c>
      <c r="AB14">
        <f>AVERAGE(Table13[[#This Row],[v2clrgstch_nr]:[v2clrgwkch_nr]])</f>
        <v>3</v>
      </c>
      <c r="AC14">
        <f>Table13[[#This Row],[v2cl_avg]]-Table13[[#This Row],[v2clsn_avg]]</f>
        <v>2.9545454545454541</v>
      </c>
      <c r="AD14" s="4">
        <f>MAX(Table13[[#This Row],[v2cltort_nr]:[v2clrgwkch_nr]])</f>
        <v>6</v>
      </c>
      <c r="AE14" s="4">
        <f>MAX(Table13[[#This Row],[v2clrgstch_nr]:[v2clrgwkch_nr]])</f>
        <v>3</v>
      </c>
    </row>
    <row r="15" spans="1:31" x14ac:dyDescent="0.35">
      <c r="A15" t="s">
        <v>4</v>
      </c>
      <c r="B15">
        <v>1913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5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 s="3">
        <v>3</v>
      </c>
      <c r="Z15" s="3">
        <v>3</v>
      </c>
      <c r="AA15">
        <f>AVERAGE(Table13[[#This Row],[v2cltort_nr]:[v2clprptyw_nr]])</f>
        <v>5.9545454545454541</v>
      </c>
      <c r="AB15">
        <f>AVERAGE(Table13[[#This Row],[v2clrgstch_nr]:[v2clrgwkch_nr]])</f>
        <v>3</v>
      </c>
      <c r="AC15">
        <f>Table13[[#This Row],[v2cl_avg]]-Table13[[#This Row],[v2clsn_avg]]</f>
        <v>2.9545454545454541</v>
      </c>
      <c r="AD15" s="4">
        <f>MAX(Table13[[#This Row],[v2cltort_nr]:[v2clrgwkch_nr]])</f>
        <v>6</v>
      </c>
      <c r="AE15" s="4">
        <f>MAX(Table13[[#This Row],[v2clrgstch_nr]:[v2clrgwkch_nr]])</f>
        <v>3</v>
      </c>
    </row>
    <row r="16" spans="1:31" x14ac:dyDescent="0.35">
      <c r="A16" t="s">
        <v>4</v>
      </c>
      <c r="B16">
        <v>1914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6</v>
      </c>
      <c r="M16">
        <v>6</v>
      </c>
      <c r="N16">
        <v>5</v>
      </c>
      <c r="O16">
        <v>6</v>
      </c>
      <c r="P16">
        <v>6</v>
      </c>
      <c r="Q16">
        <v>6</v>
      </c>
      <c r="R16">
        <v>6</v>
      </c>
      <c r="S16">
        <v>6</v>
      </c>
      <c r="T16">
        <v>6</v>
      </c>
      <c r="U16">
        <v>6</v>
      </c>
      <c r="V16">
        <v>6</v>
      </c>
      <c r="W16">
        <v>6</v>
      </c>
      <c r="X16">
        <v>6</v>
      </c>
      <c r="Y16" s="3">
        <v>3</v>
      </c>
      <c r="Z16" s="3">
        <v>3</v>
      </c>
      <c r="AA16">
        <f>AVERAGE(Table13[[#This Row],[v2cltort_nr]:[v2clprptyw_nr]])</f>
        <v>5.9545454545454541</v>
      </c>
      <c r="AB16">
        <f>AVERAGE(Table13[[#This Row],[v2clrgstch_nr]:[v2clrgwkch_nr]])</f>
        <v>3</v>
      </c>
      <c r="AC16">
        <f>Table13[[#This Row],[v2cl_avg]]-Table13[[#This Row],[v2clsn_avg]]</f>
        <v>2.9545454545454541</v>
      </c>
      <c r="AD16" s="4">
        <f>MAX(Table13[[#This Row],[v2cltort_nr]:[v2clrgwkch_nr]])</f>
        <v>6</v>
      </c>
      <c r="AE16" s="4">
        <f>MAX(Table13[[#This Row],[v2clrgstch_nr]:[v2clrgwkch_nr]])</f>
        <v>3</v>
      </c>
    </row>
    <row r="17" spans="1:31" x14ac:dyDescent="0.35">
      <c r="A17" t="s">
        <v>4</v>
      </c>
      <c r="B17">
        <v>1915</v>
      </c>
      <c r="C17">
        <v>6</v>
      </c>
      <c r="D17">
        <v>6</v>
      </c>
      <c r="E17">
        <v>6</v>
      </c>
      <c r="F17">
        <v>6</v>
      </c>
      <c r="G17">
        <v>6</v>
      </c>
      <c r="H17">
        <v>6</v>
      </c>
      <c r="I17">
        <v>6</v>
      </c>
      <c r="J17">
        <v>6</v>
      </c>
      <c r="K17">
        <v>6</v>
      </c>
      <c r="L17">
        <v>6</v>
      </c>
      <c r="M17">
        <v>6</v>
      </c>
      <c r="N17">
        <v>5</v>
      </c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 s="3">
        <v>3</v>
      </c>
      <c r="Z17" s="3">
        <v>3</v>
      </c>
      <c r="AA17">
        <f>AVERAGE(Table13[[#This Row],[v2cltort_nr]:[v2clprptyw_nr]])</f>
        <v>5.9545454545454541</v>
      </c>
      <c r="AB17">
        <f>AVERAGE(Table13[[#This Row],[v2clrgstch_nr]:[v2clrgwkch_nr]])</f>
        <v>3</v>
      </c>
      <c r="AC17">
        <f>Table13[[#This Row],[v2cl_avg]]-Table13[[#This Row],[v2clsn_avg]]</f>
        <v>2.9545454545454541</v>
      </c>
      <c r="AD17" s="4">
        <f>MAX(Table13[[#This Row],[v2cltort_nr]:[v2clrgwkch_nr]])</f>
        <v>6</v>
      </c>
      <c r="AE17" s="4">
        <f>MAX(Table13[[#This Row],[v2clrgstch_nr]:[v2clrgwkch_nr]])</f>
        <v>3</v>
      </c>
    </row>
    <row r="18" spans="1:31" x14ac:dyDescent="0.35">
      <c r="A18" t="s">
        <v>4</v>
      </c>
      <c r="B18">
        <v>1916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6</v>
      </c>
      <c r="M18">
        <v>6</v>
      </c>
      <c r="N18">
        <v>5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 s="3">
        <v>3</v>
      </c>
      <c r="Z18" s="3">
        <v>3</v>
      </c>
      <c r="AA18">
        <f>AVERAGE(Table13[[#This Row],[v2cltort_nr]:[v2clprptyw_nr]])</f>
        <v>5.9545454545454541</v>
      </c>
      <c r="AB18">
        <f>AVERAGE(Table13[[#This Row],[v2clrgstch_nr]:[v2clrgwkch_nr]])</f>
        <v>3</v>
      </c>
      <c r="AC18">
        <f>Table13[[#This Row],[v2cl_avg]]-Table13[[#This Row],[v2clsn_avg]]</f>
        <v>2.9545454545454541</v>
      </c>
      <c r="AD18" s="4">
        <f>MAX(Table13[[#This Row],[v2cltort_nr]:[v2clrgwkch_nr]])</f>
        <v>6</v>
      </c>
      <c r="AE18" s="4">
        <f>MAX(Table13[[#This Row],[v2clrgstch_nr]:[v2clrgwkch_nr]])</f>
        <v>3</v>
      </c>
    </row>
    <row r="19" spans="1:31" x14ac:dyDescent="0.35">
      <c r="A19" t="s">
        <v>4</v>
      </c>
      <c r="B19">
        <v>1917</v>
      </c>
      <c r="C19">
        <v>6</v>
      </c>
      <c r="D19">
        <v>6</v>
      </c>
      <c r="E19">
        <v>6</v>
      </c>
      <c r="F19">
        <v>6</v>
      </c>
      <c r="G19">
        <v>6</v>
      </c>
      <c r="H19">
        <v>6</v>
      </c>
      <c r="I19">
        <v>6</v>
      </c>
      <c r="J19">
        <v>6</v>
      </c>
      <c r="K19">
        <v>6</v>
      </c>
      <c r="L19">
        <v>6</v>
      </c>
      <c r="M19">
        <v>6</v>
      </c>
      <c r="N19">
        <v>5</v>
      </c>
      <c r="O19">
        <v>6</v>
      </c>
      <c r="P19">
        <v>6</v>
      </c>
      <c r="Q19">
        <v>6</v>
      </c>
      <c r="R19">
        <v>6</v>
      </c>
      <c r="S19">
        <v>6</v>
      </c>
      <c r="T19">
        <v>6</v>
      </c>
      <c r="U19">
        <v>6</v>
      </c>
      <c r="V19">
        <v>6</v>
      </c>
      <c r="W19">
        <v>6</v>
      </c>
      <c r="X19">
        <v>6</v>
      </c>
      <c r="Y19" s="3">
        <v>3</v>
      </c>
      <c r="Z19" s="3">
        <v>3</v>
      </c>
      <c r="AA19">
        <f>AVERAGE(Table13[[#This Row],[v2cltort_nr]:[v2clprptyw_nr]])</f>
        <v>5.9545454545454541</v>
      </c>
      <c r="AB19">
        <f>AVERAGE(Table13[[#This Row],[v2clrgstch_nr]:[v2clrgwkch_nr]])</f>
        <v>3</v>
      </c>
      <c r="AC19">
        <f>Table13[[#This Row],[v2cl_avg]]-Table13[[#This Row],[v2clsn_avg]]</f>
        <v>2.9545454545454541</v>
      </c>
      <c r="AD19" s="4">
        <f>MAX(Table13[[#This Row],[v2cltort_nr]:[v2clrgwkch_nr]])</f>
        <v>6</v>
      </c>
      <c r="AE19" s="4">
        <f>MAX(Table13[[#This Row],[v2clrgstch_nr]:[v2clrgwkch_nr]])</f>
        <v>3</v>
      </c>
    </row>
    <row r="20" spans="1:31" x14ac:dyDescent="0.35">
      <c r="A20" t="s">
        <v>4</v>
      </c>
      <c r="B20">
        <v>1918</v>
      </c>
      <c r="C20">
        <v>6</v>
      </c>
      <c r="D20">
        <v>6</v>
      </c>
      <c r="E20">
        <v>6</v>
      </c>
      <c r="F20">
        <v>6</v>
      </c>
      <c r="G20">
        <v>6</v>
      </c>
      <c r="H20">
        <v>6</v>
      </c>
      <c r="I20">
        <v>6</v>
      </c>
      <c r="J20">
        <v>6</v>
      </c>
      <c r="K20">
        <v>6</v>
      </c>
      <c r="L20">
        <v>6</v>
      </c>
      <c r="M20">
        <v>6</v>
      </c>
      <c r="N20">
        <v>5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v>6</v>
      </c>
      <c r="V20">
        <v>6</v>
      </c>
      <c r="W20">
        <v>6</v>
      </c>
      <c r="X20">
        <v>6</v>
      </c>
      <c r="Y20" s="3">
        <v>3</v>
      </c>
      <c r="Z20" s="3">
        <v>3</v>
      </c>
      <c r="AA20">
        <f>AVERAGE(Table13[[#This Row],[v2cltort_nr]:[v2clprptyw_nr]])</f>
        <v>5.9545454545454541</v>
      </c>
      <c r="AB20">
        <f>AVERAGE(Table13[[#This Row],[v2clrgstch_nr]:[v2clrgwkch_nr]])</f>
        <v>3</v>
      </c>
      <c r="AC20">
        <f>Table13[[#This Row],[v2cl_avg]]-Table13[[#This Row],[v2clsn_avg]]</f>
        <v>2.9545454545454541</v>
      </c>
      <c r="AD20" s="4">
        <f>MAX(Table13[[#This Row],[v2cltort_nr]:[v2clrgwkch_nr]])</f>
        <v>6</v>
      </c>
      <c r="AE20" s="4">
        <f>MAX(Table13[[#This Row],[v2clrgstch_nr]:[v2clrgwkch_nr]])</f>
        <v>3</v>
      </c>
    </row>
    <row r="21" spans="1:31" x14ac:dyDescent="0.35">
      <c r="A21" t="s">
        <v>4</v>
      </c>
      <c r="B21">
        <v>1919</v>
      </c>
      <c r="C21">
        <v>6</v>
      </c>
      <c r="D21">
        <v>6</v>
      </c>
      <c r="E21">
        <v>6</v>
      </c>
      <c r="F21">
        <v>6</v>
      </c>
      <c r="G21">
        <v>6</v>
      </c>
      <c r="H21">
        <v>6</v>
      </c>
      <c r="I21">
        <v>6</v>
      </c>
      <c r="J21">
        <v>6</v>
      </c>
      <c r="K21">
        <v>6</v>
      </c>
      <c r="L21">
        <v>6</v>
      </c>
      <c r="M21">
        <v>6</v>
      </c>
      <c r="N21">
        <v>5</v>
      </c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6</v>
      </c>
      <c r="Y21" s="3">
        <v>3</v>
      </c>
      <c r="Z21" s="3">
        <v>3</v>
      </c>
      <c r="AA21">
        <f>AVERAGE(Table13[[#This Row],[v2cltort_nr]:[v2clprptyw_nr]])</f>
        <v>5.9545454545454541</v>
      </c>
      <c r="AB21">
        <f>AVERAGE(Table13[[#This Row],[v2clrgstch_nr]:[v2clrgwkch_nr]])</f>
        <v>3</v>
      </c>
      <c r="AC21">
        <f>Table13[[#This Row],[v2cl_avg]]-Table13[[#This Row],[v2clsn_avg]]</f>
        <v>2.9545454545454541</v>
      </c>
      <c r="AD21" s="4">
        <f>MAX(Table13[[#This Row],[v2cltort_nr]:[v2clrgwkch_nr]])</f>
        <v>6</v>
      </c>
      <c r="AE21" s="4">
        <f>MAX(Table13[[#This Row],[v2clrgstch_nr]:[v2clrgwkch_nr]])</f>
        <v>3</v>
      </c>
    </row>
    <row r="22" spans="1:31" x14ac:dyDescent="0.35">
      <c r="A22" t="s">
        <v>4</v>
      </c>
      <c r="B22">
        <v>1920</v>
      </c>
      <c r="C22">
        <v>6</v>
      </c>
      <c r="D22">
        <v>6</v>
      </c>
      <c r="E22">
        <v>6</v>
      </c>
      <c r="F22">
        <v>6</v>
      </c>
      <c r="G22">
        <v>6</v>
      </c>
      <c r="H22">
        <v>6</v>
      </c>
      <c r="I22">
        <v>6</v>
      </c>
      <c r="J22">
        <v>6</v>
      </c>
      <c r="K22">
        <v>6</v>
      </c>
      <c r="L22">
        <v>6</v>
      </c>
      <c r="M22">
        <v>6</v>
      </c>
      <c r="N22">
        <v>5</v>
      </c>
      <c r="O22">
        <v>6</v>
      </c>
      <c r="P22">
        <v>6</v>
      </c>
      <c r="Q22">
        <v>6</v>
      </c>
      <c r="R22">
        <v>6</v>
      </c>
      <c r="S22">
        <v>6</v>
      </c>
      <c r="T22">
        <v>6</v>
      </c>
      <c r="U22">
        <v>6</v>
      </c>
      <c r="V22">
        <v>6</v>
      </c>
      <c r="W22">
        <v>6</v>
      </c>
      <c r="X22">
        <v>6</v>
      </c>
      <c r="Y22" s="3">
        <v>3</v>
      </c>
      <c r="Z22" s="3">
        <v>3</v>
      </c>
      <c r="AA22">
        <f>AVERAGE(Table13[[#This Row],[v2cltort_nr]:[v2clprptyw_nr]])</f>
        <v>5.9545454545454541</v>
      </c>
      <c r="AB22">
        <f>AVERAGE(Table13[[#This Row],[v2clrgstch_nr]:[v2clrgwkch_nr]])</f>
        <v>3</v>
      </c>
      <c r="AC22">
        <f>Table13[[#This Row],[v2cl_avg]]-Table13[[#This Row],[v2clsn_avg]]</f>
        <v>2.9545454545454541</v>
      </c>
      <c r="AD22" s="4">
        <f>MAX(Table13[[#This Row],[v2cltort_nr]:[v2clrgwkch_nr]])</f>
        <v>6</v>
      </c>
      <c r="AE22" s="4">
        <f>MAX(Table13[[#This Row],[v2clrgstch_nr]:[v2clrgwkch_nr]])</f>
        <v>3</v>
      </c>
    </row>
    <row r="23" spans="1:31" x14ac:dyDescent="0.35">
      <c r="A23" t="s">
        <v>4</v>
      </c>
      <c r="B23">
        <v>1921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 s="3">
        <v>3</v>
      </c>
      <c r="Z23" s="3">
        <v>3</v>
      </c>
      <c r="AA23">
        <f>AVERAGE(Table13[[#This Row],[v2cltort_nr]:[v2clprptyw_nr]])</f>
        <v>5</v>
      </c>
      <c r="AB23">
        <f>AVERAGE(Table13[[#This Row],[v2clrgstch_nr]:[v2clrgwkch_nr]])</f>
        <v>3</v>
      </c>
      <c r="AC23">
        <f>Table13[[#This Row],[v2cl_avg]]-Table13[[#This Row],[v2clsn_avg]]</f>
        <v>2</v>
      </c>
      <c r="AD23" s="4">
        <f>MAX(Table13[[#This Row],[v2cltort_nr]:[v2clrgwkch_nr]])</f>
        <v>5</v>
      </c>
      <c r="AE23" s="4">
        <f>MAX(Table13[[#This Row],[v2clrgstch_nr]:[v2clrgwkch_nr]])</f>
        <v>3</v>
      </c>
    </row>
    <row r="24" spans="1:31" x14ac:dyDescent="0.35">
      <c r="A24" t="s">
        <v>4</v>
      </c>
      <c r="B24">
        <v>1922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 s="3">
        <v>3</v>
      </c>
      <c r="Z24" s="3">
        <v>3</v>
      </c>
      <c r="AA24">
        <f>AVERAGE(Table13[[#This Row],[v2cltort_nr]:[v2clprptyw_nr]])</f>
        <v>5</v>
      </c>
      <c r="AB24">
        <f>AVERAGE(Table13[[#This Row],[v2clrgstch_nr]:[v2clrgwkch_nr]])</f>
        <v>3</v>
      </c>
      <c r="AC24">
        <f>Table13[[#This Row],[v2cl_avg]]-Table13[[#This Row],[v2clsn_avg]]</f>
        <v>2</v>
      </c>
      <c r="AD24" s="4">
        <f>MAX(Table13[[#This Row],[v2cltort_nr]:[v2clrgwkch_nr]])</f>
        <v>5</v>
      </c>
      <c r="AE24" s="4">
        <f>MAX(Table13[[#This Row],[v2clrgstch_nr]:[v2clrgwkch_nr]])</f>
        <v>3</v>
      </c>
    </row>
    <row r="25" spans="1:31" x14ac:dyDescent="0.35">
      <c r="A25" t="s">
        <v>4</v>
      </c>
      <c r="B25">
        <v>1923</v>
      </c>
      <c r="C25">
        <v>5</v>
      </c>
      <c r="D25">
        <v>5</v>
      </c>
      <c r="E25">
        <v>5</v>
      </c>
      <c r="F25">
        <v>5</v>
      </c>
      <c r="G25">
        <v>5</v>
      </c>
      <c r="H25">
        <v>5</v>
      </c>
      <c r="I25">
        <v>5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 s="3">
        <v>3</v>
      </c>
      <c r="Z25" s="3">
        <v>3</v>
      </c>
      <c r="AA25">
        <f>AVERAGE(Table13[[#This Row],[v2cltort_nr]:[v2clprptyw_nr]])</f>
        <v>5</v>
      </c>
      <c r="AB25">
        <f>AVERAGE(Table13[[#This Row],[v2clrgstch_nr]:[v2clrgwkch_nr]])</f>
        <v>3</v>
      </c>
      <c r="AC25">
        <f>Table13[[#This Row],[v2cl_avg]]-Table13[[#This Row],[v2clsn_avg]]</f>
        <v>2</v>
      </c>
      <c r="AD25" s="4">
        <f>MAX(Table13[[#This Row],[v2cltort_nr]:[v2clrgwkch_nr]])</f>
        <v>5</v>
      </c>
      <c r="AE25" s="4">
        <f>MAX(Table13[[#This Row],[v2clrgstch_nr]:[v2clrgwkch_nr]])</f>
        <v>3</v>
      </c>
    </row>
    <row r="26" spans="1:31" x14ac:dyDescent="0.35">
      <c r="A26" t="s">
        <v>4</v>
      </c>
      <c r="B26">
        <v>1924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5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 s="3">
        <v>3</v>
      </c>
      <c r="Z26" s="3">
        <v>3</v>
      </c>
      <c r="AA26">
        <f>AVERAGE(Table13[[#This Row],[v2cltort_nr]:[v2clprptyw_nr]])</f>
        <v>5</v>
      </c>
      <c r="AB26">
        <f>AVERAGE(Table13[[#This Row],[v2clrgstch_nr]:[v2clrgwkch_nr]])</f>
        <v>3</v>
      </c>
      <c r="AC26">
        <f>Table13[[#This Row],[v2cl_avg]]-Table13[[#This Row],[v2clsn_avg]]</f>
        <v>2</v>
      </c>
      <c r="AD26" s="4">
        <f>MAX(Table13[[#This Row],[v2cltort_nr]:[v2clrgwkch_nr]])</f>
        <v>5</v>
      </c>
      <c r="AE26" s="4">
        <f>MAX(Table13[[#This Row],[v2clrgstch_nr]:[v2clrgwkch_nr]])</f>
        <v>3</v>
      </c>
    </row>
    <row r="27" spans="1:31" x14ac:dyDescent="0.35">
      <c r="A27" t="s">
        <v>4</v>
      </c>
      <c r="B27">
        <v>1925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5</v>
      </c>
      <c r="N27">
        <v>5</v>
      </c>
      <c r="O27">
        <v>5</v>
      </c>
      <c r="P27">
        <v>5</v>
      </c>
      <c r="Q27">
        <v>5</v>
      </c>
      <c r="R27">
        <v>5</v>
      </c>
      <c r="S27">
        <v>5</v>
      </c>
      <c r="T27">
        <v>5</v>
      </c>
      <c r="U27">
        <v>5</v>
      </c>
      <c r="V27">
        <v>5</v>
      </c>
      <c r="W27">
        <v>5</v>
      </c>
      <c r="X27">
        <v>5</v>
      </c>
      <c r="Y27" s="3">
        <v>3</v>
      </c>
      <c r="Z27" s="3">
        <v>3</v>
      </c>
      <c r="AA27">
        <f>AVERAGE(Table13[[#This Row],[v2cltort_nr]:[v2clprptyw_nr]])</f>
        <v>5</v>
      </c>
      <c r="AB27">
        <f>AVERAGE(Table13[[#This Row],[v2clrgstch_nr]:[v2clrgwkch_nr]])</f>
        <v>3</v>
      </c>
      <c r="AC27">
        <f>Table13[[#This Row],[v2cl_avg]]-Table13[[#This Row],[v2clsn_avg]]</f>
        <v>2</v>
      </c>
      <c r="AD27" s="4">
        <f>MAX(Table13[[#This Row],[v2cltort_nr]:[v2clrgwkch_nr]])</f>
        <v>5</v>
      </c>
      <c r="AE27" s="4">
        <f>MAX(Table13[[#This Row],[v2clrgstch_nr]:[v2clrgwkch_nr]])</f>
        <v>3</v>
      </c>
    </row>
    <row r="28" spans="1:31" x14ac:dyDescent="0.35">
      <c r="A28" t="s">
        <v>4</v>
      </c>
      <c r="B28">
        <v>1926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5</v>
      </c>
      <c r="W28">
        <v>5</v>
      </c>
      <c r="X28">
        <v>5</v>
      </c>
      <c r="Y28" s="3">
        <v>3</v>
      </c>
      <c r="Z28" s="3">
        <v>3</v>
      </c>
      <c r="AA28">
        <f>AVERAGE(Table13[[#This Row],[v2cltort_nr]:[v2clprptyw_nr]])</f>
        <v>5</v>
      </c>
      <c r="AB28">
        <f>AVERAGE(Table13[[#This Row],[v2clrgstch_nr]:[v2clrgwkch_nr]])</f>
        <v>3</v>
      </c>
      <c r="AC28">
        <f>Table13[[#This Row],[v2cl_avg]]-Table13[[#This Row],[v2clsn_avg]]</f>
        <v>2</v>
      </c>
      <c r="AD28" s="4">
        <f>MAX(Table13[[#This Row],[v2cltort_nr]:[v2clrgwkch_nr]])</f>
        <v>5</v>
      </c>
      <c r="AE28" s="4">
        <f>MAX(Table13[[#This Row],[v2clrgstch_nr]:[v2clrgwkch_nr]])</f>
        <v>3</v>
      </c>
    </row>
    <row r="29" spans="1:31" x14ac:dyDescent="0.35">
      <c r="A29" t="s">
        <v>4</v>
      </c>
      <c r="B29">
        <v>1927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 s="3">
        <v>3</v>
      </c>
      <c r="Z29" s="3">
        <v>3</v>
      </c>
      <c r="AA29">
        <f>AVERAGE(Table13[[#This Row],[v2cltort_nr]:[v2clprptyw_nr]])</f>
        <v>5</v>
      </c>
      <c r="AB29">
        <f>AVERAGE(Table13[[#This Row],[v2clrgstch_nr]:[v2clrgwkch_nr]])</f>
        <v>3</v>
      </c>
      <c r="AC29">
        <f>Table13[[#This Row],[v2cl_avg]]-Table13[[#This Row],[v2clsn_avg]]</f>
        <v>2</v>
      </c>
      <c r="AD29" s="4">
        <f>MAX(Table13[[#This Row],[v2cltort_nr]:[v2clrgwkch_nr]])</f>
        <v>5</v>
      </c>
      <c r="AE29" s="4">
        <f>MAX(Table13[[#This Row],[v2clrgstch_nr]:[v2clrgwkch_nr]])</f>
        <v>3</v>
      </c>
    </row>
    <row r="30" spans="1:31" x14ac:dyDescent="0.35">
      <c r="A30" t="s">
        <v>4</v>
      </c>
      <c r="B30">
        <v>1928</v>
      </c>
      <c r="C30">
        <v>5</v>
      </c>
      <c r="D30">
        <v>5</v>
      </c>
      <c r="E30">
        <v>4</v>
      </c>
      <c r="F30">
        <v>4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 s="3">
        <v>3</v>
      </c>
      <c r="Z30" s="3">
        <v>3</v>
      </c>
      <c r="AA30">
        <f>AVERAGE(Table13[[#This Row],[v2cltort_nr]:[v2clprptyw_nr]])</f>
        <v>4.9090909090909092</v>
      </c>
      <c r="AB30">
        <f>AVERAGE(Table13[[#This Row],[v2clrgstch_nr]:[v2clrgwkch_nr]])</f>
        <v>3</v>
      </c>
      <c r="AC30">
        <f>Table13[[#This Row],[v2cl_avg]]-Table13[[#This Row],[v2clsn_avg]]</f>
        <v>1.9090909090909092</v>
      </c>
      <c r="AD30" s="4">
        <f>MAX(Table13[[#This Row],[v2cltort_nr]:[v2clrgwkch_nr]])</f>
        <v>5</v>
      </c>
      <c r="AE30" s="4">
        <f>MAX(Table13[[#This Row],[v2clrgstch_nr]:[v2clrgwkch_nr]])</f>
        <v>3</v>
      </c>
    </row>
    <row r="31" spans="1:31" x14ac:dyDescent="0.35">
      <c r="A31" t="s">
        <v>4</v>
      </c>
      <c r="B31">
        <v>1929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 s="3">
        <v>3</v>
      </c>
      <c r="Z31" s="3">
        <v>3</v>
      </c>
      <c r="AA31">
        <f>AVERAGE(Table13[[#This Row],[v2cltort_nr]:[v2clprptyw_nr]])</f>
        <v>5</v>
      </c>
      <c r="AB31">
        <f>AVERAGE(Table13[[#This Row],[v2clrgstch_nr]:[v2clrgwkch_nr]])</f>
        <v>3</v>
      </c>
      <c r="AC31">
        <f>Table13[[#This Row],[v2cl_avg]]-Table13[[#This Row],[v2clsn_avg]]</f>
        <v>2</v>
      </c>
      <c r="AD31" s="4">
        <f>MAX(Table13[[#This Row],[v2cltort_nr]:[v2clrgwkch_nr]])</f>
        <v>5</v>
      </c>
      <c r="AE31" s="4">
        <f>MAX(Table13[[#This Row],[v2clrgstch_nr]:[v2clrgwkch_nr]])</f>
        <v>3</v>
      </c>
    </row>
    <row r="32" spans="1:31" x14ac:dyDescent="0.35">
      <c r="A32" t="s">
        <v>4</v>
      </c>
      <c r="B32">
        <v>1930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 s="3">
        <v>3</v>
      </c>
      <c r="Z32" s="3">
        <v>3</v>
      </c>
      <c r="AA32">
        <f>AVERAGE(Table13[[#This Row],[v2cltort_nr]:[v2clprptyw_nr]])</f>
        <v>5</v>
      </c>
      <c r="AB32">
        <f>AVERAGE(Table13[[#This Row],[v2clrgstch_nr]:[v2clrgwkch_nr]])</f>
        <v>3</v>
      </c>
      <c r="AC32">
        <f>Table13[[#This Row],[v2cl_avg]]-Table13[[#This Row],[v2clsn_avg]]</f>
        <v>2</v>
      </c>
      <c r="AD32" s="4">
        <f>MAX(Table13[[#This Row],[v2cltort_nr]:[v2clrgwkch_nr]])</f>
        <v>5</v>
      </c>
      <c r="AE32" s="4">
        <f>MAX(Table13[[#This Row],[v2clrgstch_nr]:[v2clrgwkch_nr]])</f>
        <v>3</v>
      </c>
    </row>
    <row r="33" spans="1:31" x14ac:dyDescent="0.35">
      <c r="A33" t="s">
        <v>4</v>
      </c>
      <c r="B33">
        <v>1931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 s="3">
        <v>3</v>
      </c>
      <c r="Z33" s="3">
        <v>3</v>
      </c>
      <c r="AA33">
        <f>AVERAGE(Table13[[#This Row],[v2cltort_nr]:[v2clprptyw_nr]])</f>
        <v>5</v>
      </c>
      <c r="AB33">
        <f>AVERAGE(Table13[[#This Row],[v2clrgstch_nr]:[v2clrgwkch_nr]])</f>
        <v>3</v>
      </c>
      <c r="AC33">
        <f>Table13[[#This Row],[v2cl_avg]]-Table13[[#This Row],[v2clsn_avg]]</f>
        <v>2</v>
      </c>
      <c r="AD33" s="4">
        <f>MAX(Table13[[#This Row],[v2cltort_nr]:[v2clrgwkch_nr]])</f>
        <v>5</v>
      </c>
      <c r="AE33" s="4">
        <f>MAX(Table13[[#This Row],[v2clrgstch_nr]:[v2clrgwkch_nr]])</f>
        <v>3</v>
      </c>
    </row>
    <row r="34" spans="1:31" x14ac:dyDescent="0.35">
      <c r="A34" t="s">
        <v>4</v>
      </c>
      <c r="B34">
        <v>1932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5</v>
      </c>
      <c r="T34">
        <v>5</v>
      </c>
      <c r="U34">
        <v>5</v>
      </c>
      <c r="V34">
        <v>5</v>
      </c>
      <c r="W34">
        <v>5</v>
      </c>
      <c r="X34">
        <v>5</v>
      </c>
      <c r="Y34" s="3">
        <v>3</v>
      </c>
      <c r="Z34" s="3">
        <v>3</v>
      </c>
      <c r="AA34">
        <f>AVERAGE(Table13[[#This Row],[v2cltort_nr]:[v2clprptyw_nr]])</f>
        <v>5</v>
      </c>
      <c r="AB34">
        <f>AVERAGE(Table13[[#This Row],[v2clrgstch_nr]:[v2clrgwkch_nr]])</f>
        <v>3</v>
      </c>
      <c r="AC34">
        <f>Table13[[#This Row],[v2cl_avg]]-Table13[[#This Row],[v2clsn_avg]]</f>
        <v>2</v>
      </c>
      <c r="AD34" s="4">
        <f>MAX(Table13[[#This Row],[v2cltort_nr]:[v2clrgwkch_nr]])</f>
        <v>5</v>
      </c>
      <c r="AE34" s="4">
        <f>MAX(Table13[[#This Row],[v2clrgstch_nr]:[v2clrgwkch_nr]])</f>
        <v>3</v>
      </c>
    </row>
    <row r="35" spans="1:31" x14ac:dyDescent="0.35">
      <c r="A35" t="s">
        <v>4</v>
      </c>
      <c r="B35">
        <v>1933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 s="3">
        <v>3</v>
      </c>
      <c r="Z35" s="3">
        <v>3</v>
      </c>
      <c r="AA35">
        <f>AVERAGE(Table13[[#This Row],[v2cltort_nr]:[v2clprptyw_nr]])</f>
        <v>5</v>
      </c>
      <c r="AB35">
        <f>AVERAGE(Table13[[#This Row],[v2clrgstch_nr]:[v2clrgwkch_nr]])</f>
        <v>3</v>
      </c>
      <c r="AC35">
        <f>Table13[[#This Row],[v2cl_avg]]-Table13[[#This Row],[v2clsn_avg]]</f>
        <v>2</v>
      </c>
      <c r="AD35" s="4">
        <f>MAX(Table13[[#This Row],[v2cltort_nr]:[v2clrgwkch_nr]])</f>
        <v>5</v>
      </c>
      <c r="AE35" s="4">
        <f>MAX(Table13[[#This Row],[v2clrgstch_nr]:[v2clrgwkch_nr]])</f>
        <v>3</v>
      </c>
    </row>
    <row r="36" spans="1:31" x14ac:dyDescent="0.35">
      <c r="A36" t="s">
        <v>4</v>
      </c>
      <c r="B36">
        <v>1934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 s="3">
        <v>3</v>
      </c>
      <c r="Z36" s="3">
        <v>3</v>
      </c>
      <c r="AA36">
        <f>AVERAGE(Table13[[#This Row],[v2cltort_nr]:[v2clprptyw_nr]])</f>
        <v>5</v>
      </c>
      <c r="AB36">
        <f>AVERAGE(Table13[[#This Row],[v2clrgstch_nr]:[v2clrgwkch_nr]])</f>
        <v>3</v>
      </c>
      <c r="AC36">
        <f>Table13[[#This Row],[v2cl_avg]]-Table13[[#This Row],[v2clsn_avg]]</f>
        <v>2</v>
      </c>
      <c r="AD36" s="4">
        <f>MAX(Table13[[#This Row],[v2cltort_nr]:[v2clrgwkch_nr]])</f>
        <v>5</v>
      </c>
      <c r="AE36" s="4">
        <f>MAX(Table13[[#This Row],[v2clrgstch_nr]:[v2clrgwkch_nr]])</f>
        <v>3</v>
      </c>
    </row>
    <row r="37" spans="1:31" x14ac:dyDescent="0.35">
      <c r="A37" t="s">
        <v>4</v>
      </c>
      <c r="B37">
        <v>1935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 s="3">
        <v>3</v>
      </c>
      <c r="Z37" s="3">
        <v>3</v>
      </c>
      <c r="AA37">
        <f>AVERAGE(Table13[[#This Row],[v2cltort_nr]:[v2clprptyw_nr]])</f>
        <v>5</v>
      </c>
      <c r="AB37">
        <f>AVERAGE(Table13[[#This Row],[v2clrgstch_nr]:[v2clrgwkch_nr]])</f>
        <v>3</v>
      </c>
      <c r="AC37">
        <f>Table13[[#This Row],[v2cl_avg]]-Table13[[#This Row],[v2clsn_avg]]</f>
        <v>2</v>
      </c>
      <c r="AD37" s="4">
        <f>MAX(Table13[[#This Row],[v2cltort_nr]:[v2clrgwkch_nr]])</f>
        <v>5</v>
      </c>
      <c r="AE37" s="4">
        <f>MAX(Table13[[#This Row],[v2clrgstch_nr]:[v2clrgwkch_nr]])</f>
        <v>3</v>
      </c>
    </row>
    <row r="38" spans="1:31" x14ac:dyDescent="0.35">
      <c r="A38" t="s">
        <v>4</v>
      </c>
      <c r="B38">
        <v>1936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 s="3">
        <v>3</v>
      </c>
      <c r="Z38" s="3">
        <v>3</v>
      </c>
      <c r="AA38">
        <f>AVERAGE(Table13[[#This Row],[v2cltort_nr]:[v2clprptyw_nr]])</f>
        <v>5</v>
      </c>
      <c r="AB38">
        <f>AVERAGE(Table13[[#This Row],[v2clrgstch_nr]:[v2clrgwkch_nr]])</f>
        <v>3</v>
      </c>
      <c r="AC38">
        <f>Table13[[#This Row],[v2cl_avg]]-Table13[[#This Row],[v2clsn_avg]]</f>
        <v>2</v>
      </c>
      <c r="AD38" s="4">
        <f>MAX(Table13[[#This Row],[v2cltort_nr]:[v2clrgwkch_nr]])</f>
        <v>5</v>
      </c>
      <c r="AE38" s="4">
        <f>MAX(Table13[[#This Row],[v2clrgstch_nr]:[v2clrgwkch_nr]])</f>
        <v>3</v>
      </c>
    </row>
    <row r="39" spans="1:31" x14ac:dyDescent="0.35">
      <c r="A39" t="s">
        <v>4</v>
      </c>
      <c r="B39">
        <v>1937</v>
      </c>
      <c r="C39">
        <v>5</v>
      </c>
      <c r="D39">
        <v>5</v>
      </c>
      <c r="E39">
        <v>5</v>
      </c>
      <c r="F39">
        <v>5</v>
      </c>
      <c r="G39">
        <v>5</v>
      </c>
      <c r="H39">
        <v>5</v>
      </c>
      <c r="I39">
        <v>5</v>
      </c>
      <c r="J39">
        <v>5</v>
      </c>
      <c r="K39">
        <v>5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 s="3">
        <v>3</v>
      </c>
      <c r="Z39" s="3">
        <v>3</v>
      </c>
      <c r="AA39">
        <f>AVERAGE(Table13[[#This Row],[v2cltort_nr]:[v2clprptyw_nr]])</f>
        <v>5</v>
      </c>
      <c r="AB39">
        <f>AVERAGE(Table13[[#This Row],[v2clrgstch_nr]:[v2clrgwkch_nr]])</f>
        <v>3</v>
      </c>
      <c r="AC39">
        <f>Table13[[#This Row],[v2cl_avg]]-Table13[[#This Row],[v2clsn_avg]]</f>
        <v>2</v>
      </c>
      <c r="AD39" s="4">
        <f>MAX(Table13[[#This Row],[v2cltort_nr]:[v2clrgwkch_nr]])</f>
        <v>5</v>
      </c>
      <c r="AE39" s="4">
        <f>MAX(Table13[[#This Row],[v2clrgstch_nr]:[v2clrgwkch_nr]])</f>
        <v>3</v>
      </c>
    </row>
    <row r="40" spans="1:31" x14ac:dyDescent="0.35">
      <c r="A40" t="s">
        <v>4</v>
      </c>
      <c r="B40">
        <v>1938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 s="3">
        <v>3</v>
      </c>
      <c r="Z40" s="3">
        <v>3</v>
      </c>
      <c r="AA40">
        <f>AVERAGE(Table13[[#This Row],[v2cltort_nr]:[v2clprptyw_nr]])</f>
        <v>5</v>
      </c>
      <c r="AB40">
        <f>AVERAGE(Table13[[#This Row],[v2clrgstch_nr]:[v2clrgwkch_nr]])</f>
        <v>3</v>
      </c>
      <c r="AC40">
        <f>Table13[[#This Row],[v2cl_avg]]-Table13[[#This Row],[v2clsn_avg]]</f>
        <v>2</v>
      </c>
      <c r="AD40" s="4">
        <f>MAX(Table13[[#This Row],[v2cltort_nr]:[v2clrgwkch_nr]])</f>
        <v>5</v>
      </c>
      <c r="AE40" s="4">
        <f>MAX(Table13[[#This Row],[v2clrgstch_nr]:[v2clrgwkch_nr]])</f>
        <v>3</v>
      </c>
    </row>
    <row r="41" spans="1:31" x14ac:dyDescent="0.35">
      <c r="A41" t="s">
        <v>4</v>
      </c>
      <c r="B41">
        <v>1939</v>
      </c>
      <c r="C41">
        <v>5</v>
      </c>
      <c r="D41">
        <v>5</v>
      </c>
      <c r="E41">
        <v>5</v>
      </c>
      <c r="F41">
        <v>5</v>
      </c>
      <c r="G41">
        <v>5</v>
      </c>
      <c r="H41">
        <v>5</v>
      </c>
      <c r="I41">
        <v>5</v>
      </c>
      <c r="J41">
        <v>5</v>
      </c>
      <c r="K41">
        <v>5</v>
      </c>
      <c r="L41">
        <v>5</v>
      </c>
      <c r="M41">
        <v>5</v>
      </c>
      <c r="N41">
        <v>5</v>
      </c>
      <c r="O41">
        <v>5</v>
      </c>
      <c r="P41">
        <v>5</v>
      </c>
      <c r="Q41">
        <v>5</v>
      </c>
      <c r="R41">
        <v>5</v>
      </c>
      <c r="S41">
        <v>5</v>
      </c>
      <c r="T41">
        <v>5</v>
      </c>
      <c r="U41">
        <v>5</v>
      </c>
      <c r="V41">
        <v>5</v>
      </c>
      <c r="W41">
        <v>5</v>
      </c>
      <c r="X41">
        <v>5</v>
      </c>
      <c r="Y41" s="3">
        <v>3</v>
      </c>
      <c r="Z41" s="3">
        <v>3</v>
      </c>
      <c r="AA41">
        <f>AVERAGE(Table13[[#This Row],[v2cltort_nr]:[v2clprptyw_nr]])</f>
        <v>5</v>
      </c>
      <c r="AB41">
        <f>AVERAGE(Table13[[#This Row],[v2clrgstch_nr]:[v2clrgwkch_nr]])</f>
        <v>3</v>
      </c>
      <c r="AC41">
        <f>Table13[[#This Row],[v2cl_avg]]-Table13[[#This Row],[v2clsn_avg]]</f>
        <v>2</v>
      </c>
      <c r="AD41" s="4">
        <f>MAX(Table13[[#This Row],[v2cltort_nr]:[v2clrgwkch_nr]])</f>
        <v>5</v>
      </c>
      <c r="AE41" s="4">
        <f>MAX(Table13[[#This Row],[v2clrgstch_nr]:[v2clrgwkch_nr]])</f>
        <v>3</v>
      </c>
    </row>
    <row r="42" spans="1:31" x14ac:dyDescent="0.35">
      <c r="A42" t="s">
        <v>4</v>
      </c>
      <c r="B42">
        <v>1940</v>
      </c>
      <c r="C42">
        <v>5</v>
      </c>
      <c r="D42">
        <v>5</v>
      </c>
      <c r="E42">
        <v>5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5</v>
      </c>
      <c r="O42">
        <v>5</v>
      </c>
      <c r="P42">
        <v>5</v>
      </c>
      <c r="Q42">
        <v>5</v>
      </c>
      <c r="R42">
        <v>5</v>
      </c>
      <c r="S42">
        <v>5</v>
      </c>
      <c r="T42">
        <v>5</v>
      </c>
      <c r="U42">
        <v>5</v>
      </c>
      <c r="V42">
        <v>5</v>
      </c>
      <c r="W42">
        <v>5</v>
      </c>
      <c r="X42">
        <v>5</v>
      </c>
      <c r="Y42" s="3">
        <v>3</v>
      </c>
      <c r="Z42" s="3">
        <v>3</v>
      </c>
      <c r="AA42">
        <f>AVERAGE(Table13[[#This Row],[v2cltort_nr]:[v2clprptyw_nr]])</f>
        <v>5</v>
      </c>
      <c r="AB42">
        <f>AVERAGE(Table13[[#This Row],[v2clrgstch_nr]:[v2clrgwkch_nr]])</f>
        <v>3</v>
      </c>
      <c r="AC42">
        <f>Table13[[#This Row],[v2cl_avg]]-Table13[[#This Row],[v2clsn_avg]]</f>
        <v>2</v>
      </c>
      <c r="AD42" s="4">
        <f>MAX(Table13[[#This Row],[v2cltort_nr]:[v2clrgwkch_nr]])</f>
        <v>5</v>
      </c>
      <c r="AE42" s="4">
        <f>MAX(Table13[[#This Row],[v2clrgstch_nr]:[v2clrgwkch_nr]])</f>
        <v>3</v>
      </c>
    </row>
    <row r="43" spans="1:31" x14ac:dyDescent="0.35">
      <c r="A43" t="s">
        <v>4</v>
      </c>
      <c r="B43">
        <v>1941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 s="3">
        <v>3</v>
      </c>
      <c r="Z43" s="3">
        <v>3</v>
      </c>
      <c r="AA43">
        <f>AVERAGE(Table13[[#This Row],[v2cltort_nr]:[v2clprptyw_nr]])</f>
        <v>5</v>
      </c>
      <c r="AB43">
        <f>AVERAGE(Table13[[#This Row],[v2clrgstch_nr]:[v2clrgwkch_nr]])</f>
        <v>3</v>
      </c>
      <c r="AC43">
        <f>Table13[[#This Row],[v2cl_avg]]-Table13[[#This Row],[v2clsn_avg]]</f>
        <v>2</v>
      </c>
      <c r="AD43" s="4">
        <f>MAX(Table13[[#This Row],[v2cltort_nr]:[v2clrgwkch_nr]])</f>
        <v>5</v>
      </c>
      <c r="AE43" s="4">
        <f>MAX(Table13[[#This Row],[v2clrgstch_nr]:[v2clrgwkch_nr]])</f>
        <v>3</v>
      </c>
    </row>
    <row r="44" spans="1:31" x14ac:dyDescent="0.35">
      <c r="A44" t="s">
        <v>4</v>
      </c>
      <c r="B44">
        <v>1942</v>
      </c>
      <c r="C44">
        <v>5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 s="3">
        <v>3</v>
      </c>
      <c r="Z44" s="3">
        <v>3</v>
      </c>
      <c r="AA44">
        <f>AVERAGE(Table13[[#This Row],[v2cltort_nr]:[v2clprptyw_nr]])</f>
        <v>5</v>
      </c>
      <c r="AB44">
        <f>AVERAGE(Table13[[#This Row],[v2clrgstch_nr]:[v2clrgwkch_nr]])</f>
        <v>3</v>
      </c>
      <c r="AC44">
        <f>Table13[[#This Row],[v2cl_avg]]-Table13[[#This Row],[v2clsn_avg]]</f>
        <v>2</v>
      </c>
      <c r="AD44" s="4">
        <f>MAX(Table13[[#This Row],[v2cltort_nr]:[v2clrgwkch_nr]])</f>
        <v>5</v>
      </c>
      <c r="AE44" s="4">
        <f>MAX(Table13[[#This Row],[v2clrgstch_nr]:[v2clrgwkch_nr]])</f>
        <v>3</v>
      </c>
    </row>
    <row r="45" spans="1:31" x14ac:dyDescent="0.35">
      <c r="A45" t="s">
        <v>4</v>
      </c>
      <c r="B45">
        <v>1943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 s="3">
        <v>3</v>
      </c>
      <c r="Z45" s="3">
        <v>3</v>
      </c>
      <c r="AA45">
        <f>AVERAGE(Table13[[#This Row],[v2cltort_nr]:[v2clprptyw_nr]])</f>
        <v>5</v>
      </c>
      <c r="AB45">
        <f>AVERAGE(Table13[[#This Row],[v2clrgstch_nr]:[v2clrgwkch_nr]])</f>
        <v>3</v>
      </c>
      <c r="AC45">
        <f>Table13[[#This Row],[v2cl_avg]]-Table13[[#This Row],[v2clsn_avg]]</f>
        <v>2</v>
      </c>
      <c r="AD45" s="4">
        <f>MAX(Table13[[#This Row],[v2cltort_nr]:[v2clrgwkch_nr]])</f>
        <v>5</v>
      </c>
      <c r="AE45" s="4">
        <f>MAX(Table13[[#This Row],[v2clrgstch_nr]:[v2clrgwkch_nr]])</f>
        <v>3</v>
      </c>
    </row>
    <row r="46" spans="1:31" x14ac:dyDescent="0.35">
      <c r="A46" t="s">
        <v>4</v>
      </c>
      <c r="B46">
        <v>1944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5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 s="3">
        <v>3</v>
      </c>
      <c r="Z46" s="3">
        <v>3</v>
      </c>
      <c r="AA46">
        <f>AVERAGE(Table13[[#This Row],[v2cltort_nr]:[v2clprptyw_nr]])</f>
        <v>5</v>
      </c>
      <c r="AB46">
        <f>AVERAGE(Table13[[#This Row],[v2clrgstch_nr]:[v2clrgwkch_nr]])</f>
        <v>3</v>
      </c>
      <c r="AC46">
        <f>Table13[[#This Row],[v2cl_avg]]-Table13[[#This Row],[v2clsn_avg]]</f>
        <v>2</v>
      </c>
      <c r="AD46" s="4">
        <f>MAX(Table13[[#This Row],[v2cltort_nr]:[v2clrgwkch_nr]])</f>
        <v>5</v>
      </c>
      <c r="AE46" s="4">
        <f>MAX(Table13[[#This Row],[v2clrgstch_nr]:[v2clrgwkch_nr]])</f>
        <v>3</v>
      </c>
    </row>
    <row r="47" spans="1:31" x14ac:dyDescent="0.35">
      <c r="A47" t="s">
        <v>4</v>
      </c>
      <c r="B47">
        <v>1945</v>
      </c>
      <c r="C47">
        <v>5</v>
      </c>
      <c r="D47">
        <v>5</v>
      </c>
      <c r="E47">
        <v>5</v>
      </c>
      <c r="F47">
        <v>5</v>
      </c>
      <c r="G47">
        <v>5</v>
      </c>
      <c r="H47">
        <v>5</v>
      </c>
      <c r="I47">
        <v>5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 s="3">
        <v>3</v>
      </c>
      <c r="Z47" s="3">
        <v>3</v>
      </c>
      <c r="AA47">
        <f>AVERAGE(Table13[[#This Row],[v2cltort_nr]:[v2clprptyw_nr]])</f>
        <v>5</v>
      </c>
      <c r="AB47">
        <f>AVERAGE(Table13[[#This Row],[v2clrgstch_nr]:[v2clrgwkch_nr]])</f>
        <v>3</v>
      </c>
      <c r="AC47">
        <f>Table13[[#This Row],[v2cl_avg]]-Table13[[#This Row],[v2clsn_avg]]</f>
        <v>2</v>
      </c>
      <c r="AD47" s="4">
        <f>MAX(Table13[[#This Row],[v2cltort_nr]:[v2clrgwkch_nr]])</f>
        <v>5</v>
      </c>
      <c r="AE47" s="4">
        <f>MAX(Table13[[#This Row],[v2clrgstch_nr]:[v2clrgwkch_nr]])</f>
        <v>3</v>
      </c>
    </row>
    <row r="48" spans="1:31" x14ac:dyDescent="0.35">
      <c r="A48" t="s">
        <v>4</v>
      </c>
      <c r="B48">
        <v>1946</v>
      </c>
      <c r="C48">
        <v>5</v>
      </c>
      <c r="D48">
        <v>5</v>
      </c>
      <c r="E48">
        <v>5</v>
      </c>
      <c r="F48">
        <v>5</v>
      </c>
      <c r="G48">
        <v>5</v>
      </c>
      <c r="H48">
        <v>5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 s="3">
        <v>3</v>
      </c>
      <c r="Z48" s="3">
        <v>3</v>
      </c>
      <c r="AA48">
        <f>AVERAGE(Table13[[#This Row],[v2cltort_nr]:[v2clprptyw_nr]])</f>
        <v>5</v>
      </c>
      <c r="AB48">
        <f>AVERAGE(Table13[[#This Row],[v2clrgstch_nr]:[v2clrgwkch_nr]])</f>
        <v>3</v>
      </c>
      <c r="AC48">
        <f>Table13[[#This Row],[v2cl_avg]]-Table13[[#This Row],[v2clsn_avg]]</f>
        <v>2</v>
      </c>
      <c r="AD48" s="4">
        <f>MAX(Table13[[#This Row],[v2cltort_nr]:[v2clrgwkch_nr]])</f>
        <v>5</v>
      </c>
      <c r="AE48" s="4">
        <f>MAX(Table13[[#This Row],[v2clrgstch_nr]:[v2clrgwkch_nr]])</f>
        <v>3</v>
      </c>
    </row>
    <row r="49" spans="1:31" x14ac:dyDescent="0.35">
      <c r="A49" t="s">
        <v>4</v>
      </c>
      <c r="B49">
        <v>1947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 s="3">
        <v>3</v>
      </c>
      <c r="Z49" s="3">
        <v>3</v>
      </c>
      <c r="AA49">
        <f>AVERAGE(Table13[[#This Row],[v2cltort_nr]:[v2clprptyw_nr]])</f>
        <v>5</v>
      </c>
      <c r="AB49">
        <f>AVERAGE(Table13[[#This Row],[v2clrgstch_nr]:[v2clrgwkch_nr]])</f>
        <v>3</v>
      </c>
      <c r="AC49">
        <f>Table13[[#This Row],[v2cl_avg]]-Table13[[#This Row],[v2clsn_avg]]</f>
        <v>2</v>
      </c>
      <c r="AD49" s="4">
        <f>MAX(Table13[[#This Row],[v2cltort_nr]:[v2clrgwkch_nr]])</f>
        <v>5</v>
      </c>
      <c r="AE49" s="4">
        <f>MAX(Table13[[#This Row],[v2clrgstch_nr]:[v2clrgwkch_nr]])</f>
        <v>3</v>
      </c>
    </row>
    <row r="50" spans="1:31" x14ac:dyDescent="0.35">
      <c r="A50" t="s">
        <v>4</v>
      </c>
      <c r="B50">
        <v>1948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 s="3">
        <v>3</v>
      </c>
      <c r="Z50" s="3">
        <v>3</v>
      </c>
      <c r="AA50">
        <f>AVERAGE(Table13[[#This Row],[v2cltort_nr]:[v2clprptyw_nr]])</f>
        <v>5</v>
      </c>
      <c r="AB50">
        <f>AVERAGE(Table13[[#This Row],[v2clrgstch_nr]:[v2clrgwkch_nr]])</f>
        <v>3</v>
      </c>
      <c r="AC50">
        <f>Table13[[#This Row],[v2cl_avg]]-Table13[[#This Row],[v2clsn_avg]]</f>
        <v>2</v>
      </c>
      <c r="AD50" s="4">
        <f>MAX(Table13[[#This Row],[v2cltort_nr]:[v2clrgwkch_nr]])</f>
        <v>5</v>
      </c>
      <c r="AE50" s="4">
        <f>MAX(Table13[[#This Row],[v2clrgstch_nr]:[v2clrgwkch_nr]])</f>
        <v>3</v>
      </c>
    </row>
    <row r="51" spans="1:31" x14ac:dyDescent="0.35">
      <c r="A51" t="s">
        <v>4</v>
      </c>
      <c r="B51">
        <v>1949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 s="3">
        <v>3</v>
      </c>
      <c r="Z51" s="3">
        <v>3</v>
      </c>
      <c r="AA51">
        <f>AVERAGE(Table13[[#This Row],[v2cltort_nr]:[v2clprptyw_nr]])</f>
        <v>5</v>
      </c>
      <c r="AB51">
        <f>AVERAGE(Table13[[#This Row],[v2clrgstch_nr]:[v2clrgwkch_nr]])</f>
        <v>3</v>
      </c>
      <c r="AC51">
        <f>Table13[[#This Row],[v2cl_avg]]-Table13[[#This Row],[v2clsn_avg]]</f>
        <v>2</v>
      </c>
      <c r="AD51" s="4">
        <f>MAX(Table13[[#This Row],[v2cltort_nr]:[v2clrgwkch_nr]])</f>
        <v>5</v>
      </c>
      <c r="AE51" s="4">
        <f>MAX(Table13[[#This Row],[v2clrgstch_nr]:[v2clrgwkch_nr]])</f>
        <v>3</v>
      </c>
    </row>
    <row r="52" spans="1:31" x14ac:dyDescent="0.35">
      <c r="A52" t="s">
        <v>4</v>
      </c>
      <c r="B52">
        <v>1950</v>
      </c>
      <c r="C52">
        <v>5</v>
      </c>
      <c r="D52">
        <v>5</v>
      </c>
      <c r="E52">
        <v>5</v>
      </c>
      <c r="F52">
        <v>5</v>
      </c>
      <c r="G52">
        <v>5</v>
      </c>
      <c r="H52">
        <v>5</v>
      </c>
      <c r="I52">
        <v>5</v>
      </c>
      <c r="J52">
        <v>5</v>
      </c>
      <c r="K52">
        <v>5</v>
      </c>
      <c r="L52">
        <v>5</v>
      </c>
      <c r="M52">
        <v>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 s="3">
        <v>3</v>
      </c>
      <c r="Z52" s="3">
        <v>3</v>
      </c>
      <c r="AA52">
        <f>AVERAGE(Table13[[#This Row],[v2cltort_nr]:[v2clprptyw_nr]])</f>
        <v>5</v>
      </c>
      <c r="AB52">
        <f>AVERAGE(Table13[[#This Row],[v2clrgstch_nr]:[v2clrgwkch_nr]])</f>
        <v>3</v>
      </c>
      <c r="AC52">
        <f>Table13[[#This Row],[v2cl_avg]]-Table13[[#This Row],[v2clsn_avg]]</f>
        <v>2</v>
      </c>
      <c r="AD52" s="4">
        <f>MAX(Table13[[#This Row],[v2cltort_nr]:[v2clrgwkch_nr]])</f>
        <v>5</v>
      </c>
      <c r="AE52" s="4">
        <f>MAX(Table13[[#This Row],[v2clrgstch_nr]:[v2clrgwkch_nr]])</f>
        <v>3</v>
      </c>
    </row>
    <row r="53" spans="1:31" x14ac:dyDescent="0.35">
      <c r="A53" t="s">
        <v>4</v>
      </c>
      <c r="B53">
        <v>1951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5</v>
      </c>
      <c r="X53">
        <v>5</v>
      </c>
      <c r="Y53" s="3">
        <v>3</v>
      </c>
      <c r="Z53" s="3">
        <v>3</v>
      </c>
      <c r="AA53">
        <f>AVERAGE(Table13[[#This Row],[v2cltort_nr]:[v2clprptyw_nr]])</f>
        <v>5</v>
      </c>
      <c r="AB53">
        <f>AVERAGE(Table13[[#This Row],[v2clrgstch_nr]:[v2clrgwkch_nr]])</f>
        <v>3</v>
      </c>
      <c r="AC53">
        <f>Table13[[#This Row],[v2cl_avg]]-Table13[[#This Row],[v2clsn_avg]]</f>
        <v>2</v>
      </c>
      <c r="AD53" s="4">
        <f>MAX(Table13[[#This Row],[v2cltort_nr]:[v2clrgwkch_nr]])</f>
        <v>5</v>
      </c>
      <c r="AE53" s="4">
        <f>MAX(Table13[[#This Row],[v2clrgstch_nr]:[v2clrgwkch_nr]])</f>
        <v>3</v>
      </c>
    </row>
    <row r="54" spans="1:31" x14ac:dyDescent="0.35">
      <c r="A54" t="s">
        <v>4</v>
      </c>
      <c r="B54">
        <v>1952</v>
      </c>
      <c r="C54">
        <v>5</v>
      </c>
      <c r="D54">
        <v>5</v>
      </c>
      <c r="E54">
        <v>5</v>
      </c>
      <c r="F54">
        <v>5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 s="3">
        <v>3</v>
      </c>
      <c r="Z54" s="3">
        <v>3</v>
      </c>
      <c r="AA54">
        <f>AVERAGE(Table13[[#This Row],[v2cltort_nr]:[v2clprptyw_nr]])</f>
        <v>5</v>
      </c>
      <c r="AB54">
        <f>AVERAGE(Table13[[#This Row],[v2clrgstch_nr]:[v2clrgwkch_nr]])</f>
        <v>3</v>
      </c>
      <c r="AC54">
        <f>Table13[[#This Row],[v2cl_avg]]-Table13[[#This Row],[v2clsn_avg]]</f>
        <v>2</v>
      </c>
      <c r="AD54" s="4">
        <f>MAX(Table13[[#This Row],[v2cltort_nr]:[v2clrgwkch_nr]])</f>
        <v>5</v>
      </c>
      <c r="AE54" s="4">
        <f>MAX(Table13[[#This Row],[v2clrgstch_nr]:[v2clrgwkch_nr]])</f>
        <v>3</v>
      </c>
    </row>
    <row r="55" spans="1:31" x14ac:dyDescent="0.35">
      <c r="A55" t="s">
        <v>4</v>
      </c>
      <c r="B55">
        <v>1953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 s="3">
        <v>3</v>
      </c>
      <c r="Z55" s="3">
        <v>3</v>
      </c>
      <c r="AA55">
        <f>AVERAGE(Table13[[#This Row],[v2cltort_nr]:[v2clprptyw_nr]])</f>
        <v>5</v>
      </c>
      <c r="AB55">
        <f>AVERAGE(Table13[[#This Row],[v2clrgstch_nr]:[v2clrgwkch_nr]])</f>
        <v>3</v>
      </c>
      <c r="AC55">
        <f>Table13[[#This Row],[v2cl_avg]]-Table13[[#This Row],[v2clsn_avg]]</f>
        <v>2</v>
      </c>
      <c r="AD55" s="4">
        <f>MAX(Table13[[#This Row],[v2cltort_nr]:[v2clrgwkch_nr]])</f>
        <v>5</v>
      </c>
      <c r="AE55" s="4">
        <f>MAX(Table13[[#This Row],[v2clrgstch_nr]:[v2clrgwkch_nr]])</f>
        <v>3</v>
      </c>
    </row>
    <row r="56" spans="1:31" x14ac:dyDescent="0.35">
      <c r="A56" t="s">
        <v>4</v>
      </c>
      <c r="B56">
        <v>1954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 s="3">
        <v>3</v>
      </c>
      <c r="Z56" s="3">
        <v>3</v>
      </c>
      <c r="AA56">
        <f>AVERAGE(Table13[[#This Row],[v2cltort_nr]:[v2clprptyw_nr]])</f>
        <v>5</v>
      </c>
      <c r="AB56">
        <f>AVERAGE(Table13[[#This Row],[v2clrgstch_nr]:[v2clrgwkch_nr]])</f>
        <v>3</v>
      </c>
      <c r="AC56">
        <f>Table13[[#This Row],[v2cl_avg]]-Table13[[#This Row],[v2clsn_avg]]</f>
        <v>2</v>
      </c>
      <c r="AD56" s="4">
        <f>MAX(Table13[[#This Row],[v2cltort_nr]:[v2clrgwkch_nr]])</f>
        <v>5</v>
      </c>
      <c r="AE56" s="4">
        <f>MAX(Table13[[#This Row],[v2clrgstch_nr]:[v2clrgwkch_nr]])</f>
        <v>3</v>
      </c>
    </row>
    <row r="57" spans="1:31" x14ac:dyDescent="0.35">
      <c r="A57" t="s">
        <v>4</v>
      </c>
      <c r="B57">
        <v>1955</v>
      </c>
      <c r="C57">
        <v>5</v>
      </c>
      <c r="D57">
        <v>5</v>
      </c>
      <c r="E57">
        <v>5</v>
      </c>
      <c r="F57">
        <v>5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 s="3">
        <v>3</v>
      </c>
      <c r="Z57" s="3">
        <v>3</v>
      </c>
      <c r="AA57">
        <f>AVERAGE(Table13[[#This Row],[v2cltort_nr]:[v2clprptyw_nr]])</f>
        <v>5</v>
      </c>
      <c r="AB57">
        <f>AVERAGE(Table13[[#This Row],[v2clrgstch_nr]:[v2clrgwkch_nr]])</f>
        <v>3</v>
      </c>
      <c r="AC57">
        <f>Table13[[#This Row],[v2cl_avg]]-Table13[[#This Row],[v2clsn_avg]]</f>
        <v>2</v>
      </c>
      <c r="AD57" s="4">
        <f>MAX(Table13[[#This Row],[v2cltort_nr]:[v2clrgwkch_nr]])</f>
        <v>5</v>
      </c>
      <c r="AE57" s="4">
        <f>MAX(Table13[[#This Row],[v2clrgstch_nr]:[v2clrgwkch_nr]])</f>
        <v>3</v>
      </c>
    </row>
    <row r="58" spans="1:31" x14ac:dyDescent="0.35">
      <c r="A58" t="s">
        <v>4</v>
      </c>
      <c r="B58">
        <v>1956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 s="3">
        <v>3</v>
      </c>
      <c r="Z58" s="3">
        <v>3</v>
      </c>
      <c r="AA58">
        <f>AVERAGE(Table13[[#This Row],[v2cltort_nr]:[v2clprptyw_nr]])</f>
        <v>5</v>
      </c>
      <c r="AB58">
        <f>AVERAGE(Table13[[#This Row],[v2clrgstch_nr]:[v2clrgwkch_nr]])</f>
        <v>3</v>
      </c>
      <c r="AC58">
        <f>Table13[[#This Row],[v2cl_avg]]-Table13[[#This Row],[v2clsn_avg]]</f>
        <v>2</v>
      </c>
      <c r="AD58" s="4">
        <f>MAX(Table13[[#This Row],[v2cltort_nr]:[v2clrgwkch_nr]])</f>
        <v>5</v>
      </c>
      <c r="AE58" s="4">
        <f>MAX(Table13[[#This Row],[v2clrgstch_nr]:[v2clrgwkch_nr]])</f>
        <v>3</v>
      </c>
    </row>
    <row r="59" spans="1:31" x14ac:dyDescent="0.35">
      <c r="A59" t="s">
        <v>4</v>
      </c>
      <c r="B59">
        <v>1957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4</v>
      </c>
      <c r="Q59">
        <v>5</v>
      </c>
      <c r="R59">
        <v>5</v>
      </c>
      <c r="S59">
        <v>5</v>
      </c>
      <c r="T59">
        <v>5</v>
      </c>
      <c r="U59">
        <v>5</v>
      </c>
      <c r="V59">
        <v>5</v>
      </c>
      <c r="W59">
        <v>5</v>
      </c>
      <c r="X59">
        <v>5</v>
      </c>
      <c r="Y59" s="3">
        <v>3</v>
      </c>
      <c r="Z59" s="3">
        <v>3</v>
      </c>
      <c r="AA59">
        <f>AVERAGE(Table13[[#This Row],[v2cltort_nr]:[v2clprptyw_nr]])</f>
        <v>4.9545454545454541</v>
      </c>
      <c r="AB59">
        <f>AVERAGE(Table13[[#This Row],[v2clrgstch_nr]:[v2clrgwkch_nr]])</f>
        <v>3</v>
      </c>
      <c r="AC59">
        <f>Table13[[#This Row],[v2cl_avg]]-Table13[[#This Row],[v2clsn_avg]]</f>
        <v>1.9545454545454541</v>
      </c>
      <c r="AD59" s="4">
        <f>MAX(Table13[[#This Row],[v2cltort_nr]:[v2clrgwkch_nr]])</f>
        <v>5</v>
      </c>
      <c r="AE59" s="4">
        <f>MAX(Table13[[#This Row],[v2clrgstch_nr]:[v2clrgwkch_nr]])</f>
        <v>3</v>
      </c>
    </row>
    <row r="60" spans="1:31" x14ac:dyDescent="0.35">
      <c r="A60" t="s">
        <v>4</v>
      </c>
      <c r="B60">
        <v>1958</v>
      </c>
      <c r="C60">
        <v>5</v>
      </c>
      <c r="D60">
        <v>5</v>
      </c>
      <c r="E60">
        <v>5</v>
      </c>
      <c r="F60">
        <v>5</v>
      </c>
      <c r="G60">
        <v>5</v>
      </c>
      <c r="H60">
        <v>5</v>
      </c>
      <c r="I60">
        <v>5</v>
      </c>
      <c r="J60">
        <v>5</v>
      </c>
      <c r="K60">
        <v>5</v>
      </c>
      <c r="L60">
        <v>5</v>
      </c>
      <c r="M60">
        <v>5</v>
      </c>
      <c r="N60">
        <v>5</v>
      </c>
      <c r="O60">
        <v>5</v>
      </c>
      <c r="P60">
        <v>5</v>
      </c>
      <c r="Q60">
        <v>5</v>
      </c>
      <c r="R60">
        <v>5</v>
      </c>
      <c r="S60">
        <v>5</v>
      </c>
      <c r="T60">
        <v>5</v>
      </c>
      <c r="U60">
        <v>5</v>
      </c>
      <c r="V60">
        <v>5</v>
      </c>
      <c r="W60">
        <v>5</v>
      </c>
      <c r="X60">
        <v>5</v>
      </c>
      <c r="Y60" s="3">
        <v>3</v>
      </c>
      <c r="Z60" s="3">
        <v>3</v>
      </c>
      <c r="AA60">
        <f>AVERAGE(Table13[[#This Row],[v2cltort_nr]:[v2clprptyw_nr]])</f>
        <v>5</v>
      </c>
      <c r="AB60">
        <f>AVERAGE(Table13[[#This Row],[v2clrgstch_nr]:[v2clrgwkch_nr]])</f>
        <v>3</v>
      </c>
      <c r="AC60">
        <f>Table13[[#This Row],[v2cl_avg]]-Table13[[#This Row],[v2clsn_avg]]</f>
        <v>2</v>
      </c>
      <c r="AD60" s="4">
        <f>MAX(Table13[[#This Row],[v2cltort_nr]:[v2clrgwkch_nr]])</f>
        <v>5</v>
      </c>
      <c r="AE60" s="4">
        <f>MAX(Table13[[#This Row],[v2clrgstch_nr]:[v2clrgwkch_nr]])</f>
        <v>3</v>
      </c>
    </row>
    <row r="61" spans="1:31" x14ac:dyDescent="0.35">
      <c r="A61" t="s">
        <v>4</v>
      </c>
      <c r="B61">
        <v>1959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  <c r="L61">
        <v>5</v>
      </c>
      <c r="M61">
        <v>5</v>
      </c>
      <c r="N61">
        <v>5</v>
      </c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 s="3">
        <v>3</v>
      </c>
      <c r="Z61" s="3">
        <v>3</v>
      </c>
      <c r="AA61">
        <f>AVERAGE(Table13[[#This Row],[v2cltort_nr]:[v2clprptyw_nr]])</f>
        <v>5</v>
      </c>
      <c r="AB61">
        <f>AVERAGE(Table13[[#This Row],[v2clrgstch_nr]:[v2clrgwkch_nr]])</f>
        <v>3</v>
      </c>
      <c r="AC61">
        <f>Table13[[#This Row],[v2cl_avg]]-Table13[[#This Row],[v2clsn_avg]]</f>
        <v>2</v>
      </c>
      <c r="AD61" s="4">
        <f>MAX(Table13[[#This Row],[v2cltort_nr]:[v2clrgwkch_nr]])</f>
        <v>5</v>
      </c>
      <c r="AE61" s="4">
        <f>MAX(Table13[[#This Row],[v2clrgstch_nr]:[v2clrgwkch_nr]])</f>
        <v>3</v>
      </c>
    </row>
    <row r="62" spans="1:31" x14ac:dyDescent="0.35">
      <c r="A62" t="s">
        <v>4</v>
      </c>
      <c r="B62">
        <v>1960</v>
      </c>
      <c r="C62">
        <v>5</v>
      </c>
      <c r="D62">
        <v>5</v>
      </c>
      <c r="E62">
        <v>5</v>
      </c>
      <c r="F62">
        <v>5</v>
      </c>
      <c r="G62">
        <v>5</v>
      </c>
      <c r="H62">
        <v>5</v>
      </c>
      <c r="I62">
        <v>5</v>
      </c>
      <c r="J62">
        <v>5</v>
      </c>
      <c r="K62">
        <v>5</v>
      </c>
      <c r="L62">
        <v>5</v>
      </c>
      <c r="M62">
        <v>5</v>
      </c>
      <c r="N62">
        <v>5</v>
      </c>
      <c r="O62">
        <v>5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5</v>
      </c>
      <c r="X62">
        <v>5</v>
      </c>
      <c r="Y62" s="3">
        <v>3</v>
      </c>
      <c r="Z62" s="3">
        <v>3</v>
      </c>
      <c r="AA62">
        <f>AVERAGE(Table13[[#This Row],[v2cltort_nr]:[v2clprptyw_nr]])</f>
        <v>5</v>
      </c>
      <c r="AB62">
        <f>AVERAGE(Table13[[#This Row],[v2clrgstch_nr]:[v2clrgwkch_nr]])</f>
        <v>3</v>
      </c>
      <c r="AC62">
        <f>Table13[[#This Row],[v2cl_avg]]-Table13[[#This Row],[v2clsn_avg]]</f>
        <v>2</v>
      </c>
      <c r="AD62" s="4">
        <f>MAX(Table13[[#This Row],[v2cltort_nr]:[v2clrgwkch_nr]])</f>
        <v>5</v>
      </c>
      <c r="AE62" s="4">
        <f>MAX(Table13[[#This Row],[v2clrgstch_nr]:[v2clrgwkch_nr]])</f>
        <v>3</v>
      </c>
    </row>
    <row r="63" spans="1:31" x14ac:dyDescent="0.35">
      <c r="A63" t="s">
        <v>4</v>
      </c>
      <c r="B63">
        <v>1961</v>
      </c>
      <c r="C63">
        <v>5</v>
      </c>
      <c r="D63">
        <v>5</v>
      </c>
      <c r="E63">
        <v>5</v>
      </c>
      <c r="F63">
        <v>5</v>
      </c>
      <c r="G63">
        <v>5</v>
      </c>
      <c r="H63">
        <v>5</v>
      </c>
      <c r="I63">
        <v>5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5</v>
      </c>
      <c r="U63">
        <v>5</v>
      </c>
      <c r="V63">
        <v>5</v>
      </c>
      <c r="W63">
        <v>5</v>
      </c>
      <c r="X63">
        <v>5</v>
      </c>
      <c r="Y63" s="3">
        <v>3</v>
      </c>
      <c r="Z63" s="3">
        <v>3</v>
      </c>
      <c r="AA63">
        <f>AVERAGE(Table13[[#This Row],[v2cltort_nr]:[v2clprptyw_nr]])</f>
        <v>5</v>
      </c>
      <c r="AB63">
        <f>AVERAGE(Table13[[#This Row],[v2clrgstch_nr]:[v2clrgwkch_nr]])</f>
        <v>3</v>
      </c>
      <c r="AC63">
        <f>Table13[[#This Row],[v2cl_avg]]-Table13[[#This Row],[v2clsn_avg]]</f>
        <v>2</v>
      </c>
      <c r="AD63" s="4">
        <f>MAX(Table13[[#This Row],[v2cltort_nr]:[v2clrgwkch_nr]])</f>
        <v>5</v>
      </c>
      <c r="AE63" s="4">
        <f>MAX(Table13[[#This Row],[v2clrgstch_nr]:[v2clrgwkch_nr]])</f>
        <v>3</v>
      </c>
    </row>
    <row r="64" spans="1:31" x14ac:dyDescent="0.35">
      <c r="A64" t="s">
        <v>4</v>
      </c>
      <c r="B64">
        <v>1962</v>
      </c>
      <c r="C64">
        <v>5</v>
      </c>
      <c r="D64">
        <v>5</v>
      </c>
      <c r="E64">
        <v>5</v>
      </c>
      <c r="F64">
        <v>5</v>
      </c>
      <c r="G64">
        <v>5</v>
      </c>
      <c r="H64">
        <v>5</v>
      </c>
      <c r="I64">
        <v>5</v>
      </c>
      <c r="J64">
        <v>5</v>
      </c>
      <c r="K64">
        <v>5</v>
      </c>
      <c r="L64">
        <v>5</v>
      </c>
      <c r="M64">
        <v>5</v>
      </c>
      <c r="N64">
        <v>5</v>
      </c>
      <c r="O64">
        <v>5</v>
      </c>
      <c r="P64">
        <v>5</v>
      </c>
      <c r="Q64">
        <v>5</v>
      </c>
      <c r="R64">
        <v>5</v>
      </c>
      <c r="S64">
        <v>5</v>
      </c>
      <c r="T64">
        <v>5</v>
      </c>
      <c r="U64">
        <v>5</v>
      </c>
      <c r="V64">
        <v>5</v>
      </c>
      <c r="W64">
        <v>5</v>
      </c>
      <c r="X64">
        <v>5</v>
      </c>
      <c r="Y64" s="3">
        <v>3</v>
      </c>
      <c r="Z64" s="3">
        <v>3</v>
      </c>
      <c r="AA64">
        <f>AVERAGE(Table13[[#This Row],[v2cltort_nr]:[v2clprptyw_nr]])</f>
        <v>5</v>
      </c>
      <c r="AB64">
        <f>AVERAGE(Table13[[#This Row],[v2clrgstch_nr]:[v2clrgwkch_nr]])</f>
        <v>3</v>
      </c>
      <c r="AC64">
        <f>Table13[[#This Row],[v2cl_avg]]-Table13[[#This Row],[v2clsn_avg]]</f>
        <v>2</v>
      </c>
      <c r="AD64" s="4">
        <f>MAX(Table13[[#This Row],[v2cltort_nr]:[v2clrgwkch_nr]])</f>
        <v>5</v>
      </c>
      <c r="AE64" s="4">
        <f>MAX(Table13[[#This Row],[v2clrgstch_nr]:[v2clrgwkch_nr]])</f>
        <v>3</v>
      </c>
    </row>
    <row r="65" spans="1:31" x14ac:dyDescent="0.35">
      <c r="A65" t="s">
        <v>4</v>
      </c>
      <c r="B65">
        <v>1963</v>
      </c>
      <c r="C65">
        <v>5</v>
      </c>
      <c r="D65">
        <v>5</v>
      </c>
      <c r="E65">
        <v>5</v>
      </c>
      <c r="F65">
        <v>5</v>
      </c>
      <c r="G65">
        <v>5</v>
      </c>
      <c r="H65">
        <v>5</v>
      </c>
      <c r="I65">
        <v>5</v>
      </c>
      <c r="J65">
        <v>5</v>
      </c>
      <c r="K65">
        <v>5</v>
      </c>
      <c r="L65">
        <v>5</v>
      </c>
      <c r="M65">
        <v>5</v>
      </c>
      <c r="N65">
        <v>5</v>
      </c>
      <c r="O65">
        <v>5</v>
      </c>
      <c r="P65">
        <v>5</v>
      </c>
      <c r="Q65">
        <v>5</v>
      </c>
      <c r="R65">
        <v>5</v>
      </c>
      <c r="S65">
        <v>5</v>
      </c>
      <c r="T65">
        <v>5</v>
      </c>
      <c r="U65">
        <v>5</v>
      </c>
      <c r="V65">
        <v>5</v>
      </c>
      <c r="W65">
        <v>5</v>
      </c>
      <c r="X65">
        <v>5</v>
      </c>
      <c r="Y65" s="3">
        <v>3</v>
      </c>
      <c r="Z65" s="3">
        <v>3</v>
      </c>
      <c r="AA65">
        <f>AVERAGE(Table13[[#This Row],[v2cltort_nr]:[v2clprptyw_nr]])</f>
        <v>5</v>
      </c>
      <c r="AB65">
        <f>AVERAGE(Table13[[#This Row],[v2clrgstch_nr]:[v2clrgwkch_nr]])</f>
        <v>3</v>
      </c>
      <c r="AC65">
        <f>Table13[[#This Row],[v2cl_avg]]-Table13[[#This Row],[v2clsn_avg]]</f>
        <v>2</v>
      </c>
      <c r="AD65" s="4">
        <f>MAX(Table13[[#This Row],[v2cltort_nr]:[v2clrgwkch_nr]])</f>
        <v>5</v>
      </c>
      <c r="AE65" s="4">
        <f>MAX(Table13[[#This Row],[v2clrgstch_nr]:[v2clrgwkch_nr]])</f>
        <v>3</v>
      </c>
    </row>
    <row r="66" spans="1:31" x14ac:dyDescent="0.35">
      <c r="A66" t="s">
        <v>4</v>
      </c>
      <c r="B66">
        <v>1964</v>
      </c>
      <c r="C66">
        <v>5</v>
      </c>
      <c r="D66">
        <v>5</v>
      </c>
      <c r="E66">
        <v>5</v>
      </c>
      <c r="F66">
        <v>5</v>
      </c>
      <c r="G66">
        <v>5</v>
      </c>
      <c r="H66">
        <v>5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 s="3">
        <v>3</v>
      </c>
      <c r="Z66" s="3">
        <v>3</v>
      </c>
      <c r="AA66">
        <f>AVERAGE(Table13[[#This Row],[v2cltort_nr]:[v2clprptyw_nr]])</f>
        <v>5</v>
      </c>
      <c r="AB66">
        <f>AVERAGE(Table13[[#This Row],[v2clrgstch_nr]:[v2clrgwkch_nr]])</f>
        <v>3</v>
      </c>
      <c r="AC66">
        <f>Table13[[#This Row],[v2cl_avg]]-Table13[[#This Row],[v2clsn_avg]]</f>
        <v>2</v>
      </c>
      <c r="AD66" s="4">
        <f>MAX(Table13[[#This Row],[v2cltort_nr]:[v2clrgwkch_nr]])</f>
        <v>5</v>
      </c>
      <c r="AE66" s="4">
        <f>MAX(Table13[[#This Row],[v2clrgstch_nr]:[v2clrgwkch_nr]])</f>
        <v>3</v>
      </c>
    </row>
    <row r="67" spans="1:31" x14ac:dyDescent="0.35">
      <c r="A67" t="s">
        <v>4</v>
      </c>
      <c r="B67">
        <v>1965</v>
      </c>
      <c r="C67">
        <v>5</v>
      </c>
      <c r="D67">
        <v>5</v>
      </c>
      <c r="E67">
        <v>5</v>
      </c>
      <c r="F67">
        <v>5</v>
      </c>
      <c r="G67">
        <v>5</v>
      </c>
      <c r="H67">
        <v>5</v>
      </c>
      <c r="I67">
        <v>5</v>
      </c>
      <c r="J67">
        <v>5</v>
      </c>
      <c r="K67">
        <v>5</v>
      </c>
      <c r="L67">
        <v>5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 s="3">
        <v>3</v>
      </c>
      <c r="Z67" s="3">
        <v>3</v>
      </c>
      <c r="AA67">
        <f>AVERAGE(Table13[[#This Row],[v2cltort_nr]:[v2clprptyw_nr]])</f>
        <v>5</v>
      </c>
      <c r="AB67">
        <f>AVERAGE(Table13[[#This Row],[v2clrgstch_nr]:[v2clrgwkch_nr]])</f>
        <v>3</v>
      </c>
      <c r="AC67">
        <f>Table13[[#This Row],[v2cl_avg]]-Table13[[#This Row],[v2clsn_avg]]</f>
        <v>2</v>
      </c>
      <c r="AD67" s="4">
        <f>MAX(Table13[[#This Row],[v2cltort_nr]:[v2clrgwkch_nr]])</f>
        <v>5</v>
      </c>
      <c r="AE67" s="4">
        <f>MAX(Table13[[#This Row],[v2clrgstch_nr]:[v2clrgwkch_nr]])</f>
        <v>3</v>
      </c>
    </row>
    <row r="68" spans="1:31" x14ac:dyDescent="0.35">
      <c r="A68" t="s">
        <v>4</v>
      </c>
      <c r="B68">
        <v>1966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5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 s="3">
        <v>3</v>
      </c>
      <c r="Z68" s="3">
        <v>3</v>
      </c>
      <c r="AA68">
        <f>AVERAGE(Table13[[#This Row],[v2cltort_nr]:[v2clprptyw_nr]])</f>
        <v>5</v>
      </c>
      <c r="AB68">
        <f>AVERAGE(Table13[[#This Row],[v2clrgstch_nr]:[v2clrgwkch_nr]])</f>
        <v>3</v>
      </c>
      <c r="AC68">
        <f>Table13[[#This Row],[v2cl_avg]]-Table13[[#This Row],[v2clsn_avg]]</f>
        <v>2</v>
      </c>
      <c r="AD68" s="4">
        <f>MAX(Table13[[#This Row],[v2cltort_nr]:[v2clrgwkch_nr]])</f>
        <v>5</v>
      </c>
      <c r="AE68" s="4">
        <f>MAX(Table13[[#This Row],[v2clrgstch_nr]:[v2clrgwkch_nr]])</f>
        <v>3</v>
      </c>
    </row>
    <row r="69" spans="1:31" x14ac:dyDescent="0.35">
      <c r="A69" t="s">
        <v>4</v>
      </c>
      <c r="B69">
        <v>1967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5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>
        <v>5</v>
      </c>
      <c r="Y69" s="3">
        <v>3</v>
      </c>
      <c r="Z69" s="3">
        <v>3</v>
      </c>
      <c r="AA69">
        <f>AVERAGE(Table13[[#This Row],[v2cltort_nr]:[v2clprptyw_nr]])</f>
        <v>5</v>
      </c>
      <c r="AB69">
        <f>AVERAGE(Table13[[#This Row],[v2clrgstch_nr]:[v2clrgwkch_nr]])</f>
        <v>3</v>
      </c>
      <c r="AC69">
        <f>Table13[[#This Row],[v2cl_avg]]-Table13[[#This Row],[v2clsn_avg]]</f>
        <v>2</v>
      </c>
      <c r="AD69" s="4">
        <f>MAX(Table13[[#This Row],[v2cltort_nr]:[v2clrgwkch_nr]])</f>
        <v>5</v>
      </c>
      <c r="AE69" s="4">
        <f>MAX(Table13[[#This Row],[v2clrgstch_nr]:[v2clrgwkch_nr]])</f>
        <v>3</v>
      </c>
    </row>
    <row r="70" spans="1:31" x14ac:dyDescent="0.35">
      <c r="A70" t="s">
        <v>4</v>
      </c>
      <c r="B70">
        <v>1968</v>
      </c>
      <c r="C70">
        <v>5</v>
      </c>
      <c r="D70">
        <v>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5</v>
      </c>
      <c r="O70">
        <v>5</v>
      </c>
      <c r="P70">
        <v>5</v>
      </c>
      <c r="Q70">
        <v>5</v>
      </c>
      <c r="R70">
        <v>5</v>
      </c>
      <c r="S70">
        <v>5</v>
      </c>
      <c r="T70">
        <v>5</v>
      </c>
      <c r="U70">
        <v>5</v>
      </c>
      <c r="V70">
        <v>5</v>
      </c>
      <c r="W70">
        <v>5</v>
      </c>
      <c r="X70">
        <v>5</v>
      </c>
      <c r="Y70" s="3">
        <v>3</v>
      </c>
      <c r="Z70" s="3">
        <v>3</v>
      </c>
      <c r="AA70">
        <f>AVERAGE(Table13[[#This Row],[v2cltort_nr]:[v2clprptyw_nr]])</f>
        <v>5</v>
      </c>
      <c r="AB70">
        <f>AVERAGE(Table13[[#This Row],[v2clrgstch_nr]:[v2clrgwkch_nr]])</f>
        <v>3</v>
      </c>
      <c r="AC70">
        <f>Table13[[#This Row],[v2cl_avg]]-Table13[[#This Row],[v2clsn_avg]]</f>
        <v>2</v>
      </c>
      <c r="AD70" s="4">
        <f>MAX(Table13[[#This Row],[v2cltort_nr]:[v2clrgwkch_nr]])</f>
        <v>5</v>
      </c>
      <c r="AE70" s="4">
        <f>MAX(Table13[[#This Row],[v2clrgstch_nr]:[v2clrgwkch_nr]])</f>
        <v>3</v>
      </c>
    </row>
    <row r="71" spans="1:31" x14ac:dyDescent="0.35">
      <c r="A71" t="s">
        <v>4</v>
      </c>
      <c r="B71">
        <v>1969</v>
      </c>
      <c r="C71">
        <v>5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5</v>
      </c>
      <c r="V71">
        <v>5</v>
      </c>
      <c r="W71">
        <v>5</v>
      </c>
      <c r="X71">
        <v>5</v>
      </c>
      <c r="Y71" s="3">
        <v>3</v>
      </c>
      <c r="Z71" s="3">
        <v>3</v>
      </c>
      <c r="AA71">
        <f>AVERAGE(Table13[[#This Row],[v2cltort_nr]:[v2clprptyw_nr]])</f>
        <v>5</v>
      </c>
      <c r="AB71">
        <f>AVERAGE(Table13[[#This Row],[v2clrgstch_nr]:[v2clrgwkch_nr]])</f>
        <v>3</v>
      </c>
      <c r="AC71">
        <f>Table13[[#This Row],[v2cl_avg]]-Table13[[#This Row],[v2clsn_avg]]</f>
        <v>2</v>
      </c>
      <c r="AD71" s="4">
        <f>MAX(Table13[[#This Row],[v2cltort_nr]:[v2clrgwkch_nr]])</f>
        <v>5</v>
      </c>
      <c r="AE71" s="4">
        <f>MAX(Table13[[#This Row],[v2clrgstch_nr]:[v2clrgwkch_nr]])</f>
        <v>3</v>
      </c>
    </row>
    <row r="72" spans="1:31" x14ac:dyDescent="0.35">
      <c r="A72" t="s">
        <v>4</v>
      </c>
      <c r="B72">
        <v>1970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 s="3">
        <v>4</v>
      </c>
      <c r="Z72" s="3">
        <v>3</v>
      </c>
      <c r="AA72">
        <f>AVERAGE(Table13[[#This Row],[v2cltort_nr]:[v2clprptyw_nr]])</f>
        <v>5</v>
      </c>
      <c r="AB72">
        <f>AVERAGE(Table13[[#This Row],[v2clrgstch_nr]:[v2clrgwkch_nr]])</f>
        <v>3.5</v>
      </c>
      <c r="AC72">
        <f>Table13[[#This Row],[v2cl_avg]]-Table13[[#This Row],[v2clsn_avg]]</f>
        <v>1.5</v>
      </c>
      <c r="AD72" s="4">
        <f>MAX(Table13[[#This Row],[v2cltort_nr]:[v2clrgwkch_nr]])</f>
        <v>5</v>
      </c>
      <c r="AE72" s="4">
        <f>MAX(Table13[[#This Row],[v2clrgstch_nr]:[v2clrgwkch_nr]])</f>
        <v>4</v>
      </c>
    </row>
    <row r="73" spans="1:31" x14ac:dyDescent="0.35">
      <c r="A73" t="s">
        <v>4</v>
      </c>
      <c r="B73">
        <v>1971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5</v>
      </c>
      <c r="T73">
        <v>5</v>
      </c>
      <c r="U73">
        <v>5</v>
      </c>
      <c r="V73">
        <v>5</v>
      </c>
      <c r="W73">
        <v>5</v>
      </c>
      <c r="X73">
        <v>5</v>
      </c>
      <c r="Y73" s="3">
        <v>4</v>
      </c>
      <c r="Z73" s="3">
        <v>3</v>
      </c>
      <c r="AA73">
        <f>AVERAGE(Table13[[#This Row],[v2cltort_nr]:[v2clprptyw_nr]])</f>
        <v>5</v>
      </c>
      <c r="AB73">
        <f>AVERAGE(Table13[[#This Row],[v2clrgstch_nr]:[v2clrgwkch_nr]])</f>
        <v>3.5</v>
      </c>
      <c r="AC73">
        <f>Table13[[#This Row],[v2cl_avg]]-Table13[[#This Row],[v2clsn_avg]]</f>
        <v>1.5</v>
      </c>
      <c r="AD73" s="4">
        <f>MAX(Table13[[#This Row],[v2cltort_nr]:[v2clrgwkch_nr]])</f>
        <v>5</v>
      </c>
      <c r="AE73" s="4">
        <f>MAX(Table13[[#This Row],[v2clrgstch_nr]:[v2clrgwkch_nr]])</f>
        <v>4</v>
      </c>
    </row>
    <row r="74" spans="1:31" x14ac:dyDescent="0.35">
      <c r="A74" t="s">
        <v>4</v>
      </c>
      <c r="B74">
        <v>1972</v>
      </c>
      <c r="C74">
        <v>5</v>
      </c>
      <c r="D74">
        <v>5</v>
      </c>
      <c r="E74">
        <v>5</v>
      </c>
      <c r="F74">
        <v>5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5</v>
      </c>
      <c r="N74">
        <v>5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  <c r="U74">
        <v>5</v>
      </c>
      <c r="V74">
        <v>5</v>
      </c>
      <c r="W74">
        <v>5</v>
      </c>
      <c r="X74">
        <v>5</v>
      </c>
      <c r="Y74" s="3">
        <v>4</v>
      </c>
      <c r="Z74" s="3">
        <v>3</v>
      </c>
      <c r="AA74">
        <f>AVERAGE(Table13[[#This Row],[v2cltort_nr]:[v2clprptyw_nr]])</f>
        <v>5</v>
      </c>
      <c r="AB74">
        <f>AVERAGE(Table13[[#This Row],[v2clrgstch_nr]:[v2clrgwkch_nr]])</f>
        <v>3.5</v>
      </c>
      <c r="AC74">
        <f>Table13[[#This Row],[v2cl_avg]]-Table13[[#This Row],[v2clsn_avg]]</f>
        <v>1.5</v>
      </c>
      <c r="AD74" s="4">
        <f>MAX(Table13[[#This Row],[v2cltort_nr]:[v2clrgwkch_nr]])</f>
        <v>5</v>
      </c>
      <c r="AE74" s="4">
        <f>MAX(Table13[[#This Row],[v2clrgstch_nr]:[v2clrgwkch_nr]])</f>
        <v>4</v>
      </c>
    </row>
    <row r="75" spans="1:31" x14ac:dyDescent="0.35">
      <c r="A75" t="s">
        <v>4</v>
      </c>
      <c r="B75">
        <v>1973</v>
      </c>
      <c r="C75">
        <v>5</v>
      </c>
      <c r="D75">
        <v>5</v>
      </c>
      <c r="E75">
        <v>5</v>
      </c>
      <c r="F75">
        <v>5</v>
      </c>
      <c r="G75">
        <v>5</v>
      </c>
      <c r="H75">
        <v>5</v>
      </c>
      <c r="I75">
        <v>5</v>
      </c>
      <c r="J75">
        <v>5</v>
      </c>
      <c r="K75">
        <v>5</v>
      </c>
      <c r="L75">
        <v>5</v>
      </c>
      <c r="M75">
        <v>5</v>
      </c>
      <c r="N75">
        <v>5</v>
      </c>
      <c r="O75">
        <v>5</v>
      </c>
      <c r="P75">
        <v>5</v>
      </c>
      <c r="Q75">
        <v>5</v>
      </c>
      <c r="R75">
        <v>5</v>
      </c>
      <c r="S75">
        <v>5</v>
      </c>
      <c r="T75">
        <v>5</v>
      </c>
      <c r="U75">
        <v>5</v>
      </c>
      <c r="V75">
        <v>5</v>
      </c>
      <c r="W75">
        <v>5</v>
      </c>
      <c r="X75">
        <v>5</v>
      </c>
      <c r="Y75" s="3">
        <v>4</v>
      </c>
      <c r="Z75" s="3">
        <v>3</v>
      </c>
      <c r="AA75">
        <f>AVERAGE(Table13[[#This Row],[v2cltort_nr]:[v2clprptyw_nr]])</f>
        <v>5</v>
      </c>
      <c r="AB75">
        <f>AVERAGE(Table13[[#This Row],[v2clrgstch_nr]:[v2clrgwkch_nr]])</f>
        <v>3.5</v>
      </c>
      <c r="AC75">
        <f>Table13[[#This Row],[v2cl_avg]]-Table13[[#This Row],[v2clsn_avg]]</f>
        <v>1.5</v>
      </c>
      <c r="AD75" s="4">
        <f>MAX(Table13[[#This Row],[v2cltort_nr]:[v2clrgwkch_nr]])</f>
        <v>5</v>
      </c>
      <c r="AE75" s="4">
        <f>MAX(Table13[[#This Row],[v2clrgstch_nr]:[v2clrgwkch_nr]])</f>
        <v>4</v>
      </c>
    </row>
    <row r="76" spans="1:31" x14ac:dyDescent="0.35">
      <c r="A76" t="s">
        <v>4</v>
      </c>
      <c r="B76">
        <v>1974</v>
      </c>
      <c r="C76">
        <v>5</v>
      </c>
      <c r="D76">
        <v>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>
        <v>5</v>
      </c>
      <c r="L76">
        <v>5</v>
      </c>
      <c r="M76">
        <v>5</v>
      </c>
      <c r="N76">
        <v>5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5</v>
      </c>
      <c r="W76">
        <v>5</v>
      </c>
      <c r="X76">
        <v>5</v>
      </c>
      <c r="Y76" s="3">
        <v>4</v>
      </c>
      <c r="Z76" s="3">
        <v>3</v>
      </c>
      <c r="AA76">
        <f>AVERAGE(Table13[[#This Row],[v2cltort_nr]:[v2clprptyw_nr]])</f>
        <v>5</v>
      </c>
      <c r="AB76">
        <f>AVERAGE(Table13[[#This Row],[v2clrgstch_nr]:[v2clrgwkch_nr]])</f>
        <v>3.5</v>
      </c>
      <c r="AC76">
        <f>Table13[[#This Row],[v2cl_avg]]-Table13[[#This Row],[v2clsn_avg]]</f>
        <v>1.5</v>
      </c>
      <c r="AD76" s="4">
        <f>MAX(Table13[[#This Row],[v2cltort_nr]:[v2clrgwkch_nr]])</f>
        <v>5</v>
      </c>
      <c r="AE76" s="4">
        <f>MAX(Table13[[#This Row],[v2clrgstch_nr]:[v2clrgwkch_nr]])</f>
        <v>4</v>
      </c>
    </row>
    <row r="77" spans="1:31" x14ac:dyDescent="0.35">
      <c r="A77" t="s">
        <v>4</v>
      </c>
      <c r="B77">
        <v>1975</v>
      </c>
      <c r="C77">
        <v>5</v>
      </c>
      <c r="D77">
        <v>5</v>
      </c>
      <c r="E77">
        <v>5</v>
      </c>
      <c r="F77">
        <v>5</v>
      </c>
      <c r="G77">
        <v>5</v>
      </c>
      <c r="H77">
        <v>5</v>
      </c>
      <c r="I77">
        <v>5</v>
      </c>
      <c r="J77">
        <v>5</v>
      </c>
      <c r="K77">
        <v>5</v>
      </c>
      <c r="L77">
        <v>5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5</v>
      </c>
      <c r="V77">
        <v>5</v>
      </c>
      <c r="W77">
        <v>5</v>
      </c>
      <c r="X77">
        <v>5</v>
      </c>
      <c r="Y77" s="3">
        <v>4</v>
      </c>
      <c r="Z77" s="3">
        <v>3</v>
      </c>
      <c r="AA77">
        <f>AVERAGE(Table13[[#This Row],[v2cltort_nr]:[v2clprptyw_nr]])</f>
        <v>5</v>
      </c>
      <c r="AB77">
        <f>AVERAGE(Table13[[#This Row],[v2clrgstch_nr]:[v2clrgwkch_nr]])</f>
        <v>3.5</v>
      </c>
      <c r="AC77">
        <f>Table13[[#This Row],[v2cl_avg]]-Table13[[#This Row],[v2clsn_avg]]</f>
        <v>1.5</v>
      </c>
      <c r="AD77" s="4">
        <f>MAX(Table13[[#This Row],[v2cltort_nr]:[v2clrgwkch_nr]])</f>
        <v>5</v>
      </c>
      <c r="AE77" s="4">
        <f>MAX(Table13[[#This Row],[v2clrgstch_nr]:[v2clrgwkch_nr]])</f>
        <v>4</v>
      </c>
    </row>
    <row r="78" spans="1:31" x14ac:dyDescent="0.35">
      <c r="A78" t="s">
        <v>4</v>
      </c>
      <c r="B78">
        <v>1976</v>
      </c>
      <c r="C78">
        <v>5</v>
      </c>
      <c r="D78">
        <v>5</v>
      </c>
      <c r="E78">
        <v>5</v>
      </c>
      <c r="F78">
        <v>5</v>
      </c>
      <c r="G78">
        <v>5</v>
      </c>
      <c r="H78">
        <v>5</v>
      </c>
      <c r="I78">
        <v>5</v>
      </c>
      <c r="J78">
        <v>5</v>
      </c>
      <c r="K78">
        <v>5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5</v>
      </c>
      <c r="V78">
        <v>5</v>
      </c>
      <c r="W78">
        <v>5</v>
      </c>
      <c r="X78">
        <v>5</v>
      </c>
      <c r="Y78" s="3">
        <v>4</v>
      </c>
      <c r="Z78" s="3">
        <v>3</v>
      </c>
      <c r="AA78">
        <f>AVERAGE(Table13[[#This Row],[v2cltort_nr]:[v2clprptyw_nr]])</f>
        <v>5</v>
      </c>
      <c r="AB78">
        <f>AVERAGE(Table13[[#This Row],[v2clrgstch_nr]:[v2clrgwkch_nr]])</f>
        <v>3.5</v>
      </c>
      <c r="AC78">
        <f>Table13[[#This Row],[v2cl_avg]]-Table13[[#This Row],[v2clsn_avg]]</f>
        <v>1.5</v>
      </c>
      <c r="AD78" s="4">
        <f>MAX(Table13[[#This Row],[v2cltort_nr]:[v2clrgwkch_nr]])</f>
        <v>5</v>
      </c>
      <c r="AE78" s="4">
        <f>MAX(Table13[[#This Row],[v2clrgstch_nr]:[v2clrgwkch_nr]])</f>
        <v>4</v>
      </c>
    </row>
    <row r="79" spans="1:31" x14ac:dyDescent="0.35">
      <c r="A79" t="s">
        <v>4</v>
      </c>
      <c r="B79">
        <v>1977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 s="3">
        <v>4</v>
      </c>
      <c r="Z79" s="3">
        <v>3</v>
      </c>
      <c r="AA79">
        <f>AVERAGE(Table13[[#This Row],[v2cltort_nr]:[v2clprptyw_nr]])</f>
        <v>5</v>
      </c>
      <c r="AB79">
        <f>AVERAGE(Table13[[#This Row],[v2clrgstch_nr]:[v2clrgwkch_nr]])</f>
        <v>3.5</v>
      </c>
      <c r="AC79">
        <f>Table13[[#This Row],[v2cl_avg]]-Table13[[#This Row],[v2clsn_avg]]</f>
        <v>1.5</v>
      </c>
      <c r="AD79" s="4">
        <f>MAX(Table13[[#This Row],[v2cltort_nr]:[v2clrgwkch_nr]])</f>
        <v>5</v>
      </c>
      <c r="AE79" s="4">
        <f>MAX(Table13[[#This Row],[v2clrgstch_nr]:[v2clrgwkch_nr]])</f>
        <v>4</v>
      </c>
    </row>
    <row r="80" spans="1:31" x14ac:dyDescent="0.35">
      <c r="A80" t="s">
        <v>4</v>
      </c>
      <c r="B80">
        <v>1978</v>
      </c>
      <c r="C80">
        <v>5</v>
      </c>
      <c r="D80">
        <v>5</v>
      </c>
      <c r="E80">
        <v>5</v>
      </c>
      <c r="F80">
        <v>5</v>
      </c>
      <c r="G80">
        <v>5</v>
      </c>
      <c r="H80">
        <v>5</v>
      </c>
      <c r="I80">
        <v>5</v>
      </c>
      <c r="J80">
        <v>5</v>
      </c>
      <c r="K80">
        <v>5</v>
      </c>
      <c r="L80">
        <v>5</v>
      </c>
      <c r="M80">
        <v>5</v>
      </c>
      <c r="N80">
        <v>5</v>
      </c>
      <c r="O80">
        <v>5</v>
      </c>
      <c r="P80">
        <v>5</v>
      </c>
      <c r="Q80">
        <v>5</v>
      </c>
      <c r="R80">
        <v>5</v>
      </c>
      <c r="S80">
        <v>5</v>
      </c>
      <c r="T80">
        <v>5</v>
      </c>
      <c r="U80">
        <v>5</v>
      </c>
      <c r="V80">
        <v>5</v>
      </c>
      <c r="W80">
        <v>5</v>
      </c>
      <c r="X80">
        <v>5</v>
      </c>
      <c r="Y80" s="3">
        <v>4</v>
      </c>
      <c r="Z80" s="3">
        <v>3</v>
      </c>
      <c r="AA80">
        <f>AVERAGE(Table13[[#This Row],[v2cltort_nr]:[v2clprptyw_nr]])</f>
        <v>5</v>
      </c>
      <c r="AB80">
        <f>AVERAGE(Table13[[#This Row],[v2clrgstch_nr]:[v2clrgwkch_nr]])</f>
        <v>3.5</v>
      </c>
      <c r="AC80">
        <f>Table13[[#This Row],[v2cl_avg]]-Table13[[#This Row],[v2clsn_avg]]</f>
        <v>1.5</v>
      </c>
      <c r="AD80" s="4">
        <f>MAX(Table13[[#This Row],[v2cltort_nr]:[v2clrgwkch_nr]])</f>
        <v>5</v>
      </c>
      <c r="AE80" s="4">
        <f>MAX(Table13[[#This Row],[v2clrgstch_nr]:[v2clrgwkch_nr]])</f>
        <v>4</v>
      </c>
    </row>
    <row r="81" spans="1:31" x14ac:dyDescent="0.35">
      <c r="A81" t="s">
        <v>4</v>
      </c>
      <c r="B81">
        <v>1979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5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 s="3">
        <v>4</v>
      </c>
      <c r="Z81" s="3">
        <v>3</v>
      </c>
      <c r="AA81">
        <f>AVERAGE(Table13[[#This Row],[v2cltort_nr]:[v2clprptyw_nr]])</f>
        <v>5</v>
      </c>
      <c r="AB81">
        <f>AVERAGE(Table13[[#This Row],[v2clrgstch_nr]:[v2clrgwkch_nr]])</f>
        <v>3.5</v>
      </c>
      <c r="AC81">
        <f>Table13[[#This Row],[v2cl_avg]]-Table13[[#This Row],[v2clsn_avg]]</f>
        <v>1.5</v>
      </c>
      <c r="AD81" s="4">
        <f>MAX(Table13[[#This Row],[v2cltort_nr]:[v2clrgwkch_nr]])</f>
        <v>5</v>
      </c>
      <c r="AE81" s="4">
        <f>MAX(Table13[[#This Row],[v2clrgstch_nr]:[v2clrgwkch_nr]])</f>
        <v>4</v>
      </c>
    </row>
    <row r="82" spans="1:31" x14ac:dyDescent="0.35">
      <c r="A82" t="s">
        <v>4</v>
      </c>
      <c r="B82">
        <v>1980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 s="3">
        <v>4</v>
      </c>
      <c r="Z82" s="3">
        <v>4</v>
      </c>
      <c r="AA82">
        <f>AVERAGE(Table13[[#This Row],[v2cltort_nr]:[v2clprptyw_nr]])</f>
        <v>5</v>
      </c>
      <c r="AB82">
        <f>AVERAGE(Table13[[#This Row],[v2clrgstch_nr]:[v2clrgwkch_nr]])</f>
        <v>4</v>
      </c>
      <c r="AC82">
        <f>Table13[[#This Row],[v2cl_avg]]-Table13[[#This Row],[v2clsn_avg]]</f>
        <v>1</v>
      </c>
      <c r="AD82" s="4">
        <f>MAX(Table13[[#This Row],[v2cltort_nr]:[v2clrgwkch_nr]])</f>
        <v>5</v>
      </c>
      <c r="AE82" s="4">
        <f>MAX(Table13[[#This Row],[v2clrgstch_nr]:[v2clrgwkch_nr]])</f>
        <v>4</v>
      </c>
    </row>
    <row r="83" spans="1:31" x14ac:dyDescent="0.35">
      <c r="A83" t="s">
        <v>4</v>
      </c>
      <c r="B83">
        <v>1981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5</v>
      </c>
      <c r="U83">
        <v>5</v>
      </c>
      <c r="V83">
        <v>5</v>
      </c>
      <c r="W83">
        <v>5</v>
      </c>
      <c r="X83">
        <v>5</v>
      </c>
      <c r="Y83" s="3">
        <v>4</v>
      </c>
      <c r="Z83" s="3">
        <v>4</v>
      </c>
      <c r="AA83">
        <f>AVERAGE(Table13[[#This Row],[v2cltort_nr]:[v2clprptyw_nr]])</f>
        <v>5</v>
      </c>
      <c r="AB83">
        <f>AVERAGE(Table13[[#This Row],[v2clrgstch_nr]:[v2clrgwkch_nr]])</f>
        <v>4</v>
      </c>
      <c r="AC83">
        <f>Table13[[#This Row],[v2cl_avg]]-Table13[[#This Row],[v2clsn_avg]]</f>
        <v>1</v>
      </c>
      <c r="AD83" s="4">
        <f>MAX(Table13[[#This Row],[v2cltort_nr]:[v2clrgwkch_nr]])</f>
        <v>5</v>
      </c>
      <c r="AE83" s="4">
        <f>MAX(Table13[[#This Row],[v2clrgstch_nr]:[v2clrgwkch_nr]])</f>
        <v>4</v>
      </c>
    </row>
    <row r="84" spans="1:31" x14ac:dyDescent="0.35">
      <c r="A84" t="s">
        <v>4</v>
      </c>
      <c r="B84">
        <v>1982</v>
      </c>
      <c r="C84">
        <v>5</v>
      </c>
      <c r="D84">
        <v>5</v>
      </c>
      <c r="E84">
        <v>5</v>
      </c>
      <c r="F84">
        <v>5</v>
      </c>
      <c r="G84">
        <v>5</v>
      </c>
      <c r="H84">
        <v>5</v>
      </c>
      <c r="I84">
        <v>5</v>
      </c>
      <c r="J84">
        <v>5</v>
      </c>
      <c r="K84">
        <v>5</v>
      </c>
      <c r="L84">
        <v>5</v>
      </c>
      <c r="M84">
        <v>5</v>
      </c>
      <c r="N84">
        <v>5</v>
      </c>
      <c r="O84">
        <v>5</v>
      </c>
      <c r="P84">
        <v>5</v>
      </c>
      <c r="Q84">
        <v>5</v>
      </c>
      <c r="R84">
        <v>5</v>
      </c>
      <c r="S84">
        <v>5</v>
      </c>
      <c r="T84">
        <v>5</v>
      </c>
      <c r="U84">
        <v>5</v>
      </c>
      <c r="V84">
        <v>5</v>
      </c>
      <c r="W84">
        <v>5</v>
      </c>
      <c r="X84">
        <v>5</v>
      </c>
      <c r="Y84" s="3">
        <v>4</v>
      </c>
      <c r="Z84" s="3">
        <v>4</v>
      </c>
      <c r="AA84">
        <f>AVERAGE(Table13[[#This Row],[v2cltort_nr]:[v2clprptyw_nr]])</f>
        <v>5</v>
      </c>
      <c r="AB84">
        <f>AVERAGE(Table13[[#This Row],[v2clrgstch_nr]:[v2clrgwkch_nr]])</f>
        <v>4</v>
      </c>
      <c r="AC84">
        <f>Table13[[#This Row],[v2cl_avg]]-Table13[[#This Row],[v2clsn_avg]]</f>
        <v>1</v>
      </c>
      <c r="AD84" s="4">
        <f>MAX(Table13[[#This Row],[v2cltort_nr]:[v2clrgwkch_nr]])</f>
        <v>5</v>
      </c>
      <c r="AE84" s="4">
        <f>MAX(Table13[[#This Row],[v2clrgstch_nr]:[v2clrgwkch_nr]])</f>
        <v>4</v>
      </c>
    </row>
    <row r="85" spans="1:31" x14ac:dyDescent="0.35">
      <c r="A85" t="s">
        <v>4</v>
      </c>
      <c r="B85">
        <v>1983</v>
      </c>
      <c r="C85">
        <v>5</v>
      </c>
      <c r="D85">
        <v>5</v>
      </c>
      <c r="E85">
        <v>5</v>
      </c>
      <c r="F85">
        <v>5</v>
      </c>
      <c r="G85">
        <v>5</v>
      </c>
      <c r="H85">
        <v>5</v>
      </c>
      <c r="I85">
        <v>5</v>
      </c>
      <c r="J85">
        <v>5</v>
      </c>
      <c r="K85">
        <v>5</v>
      </c>
      <c r="L85">
        <v>5</v>
      </c>
      <c r="M85">
        <v>5</v>
      </c>
      <c r="N85">
        <v>5</v>
      </c>
      <c r="O85">
        <v>5</v>
      </c>
      <c r="P85">
        <v>5</v>
      </c>
      <c r="Q85">
        <v>5</v>
      </c>
      <c r="R85">
        <v>5</v>
      </c>
      <c r="S85">
        <v>5</v>
      </c>
      <c r="T85">
        <v>5</v>
      </c>
      <c r="U85">
        <v>5</v>
      </c>
      <c r="V85">
        <v>5</v>
      </c>
      <c r="W85">
        <v>5</v>
      </c>
      <c r="X85">
        <v>5</v>
      </c>
      <c r="Y85" s="3">
        <v>4</v>
      </c>
      <c r="Z85" s="3">
        <v>4</v>
      </c>
      <c r="AA85">
        <f>AVERAGE(Table13[[#This Row],[v2cltort_nr]:[v2clprptyw_nr]])</f>
        <v>5</v>
      </c>
      <c r="AB85">
        <f>AVERAGE(Table13[[#This Row],[v2clrgstch_nr]:[v2clrgwkch_nr]])</f>
        <v>4</v>
      </c>
      <c r="AC85">
        <f>Table13[[#This Row],[v2cl_avg]]-Table13[[#This Row],[v2clsn_avg]]</f>
        <v>1</v>
      </c>
      <c r="AD85" s="4">
        <f>MAX(Table13[[#This Row],[v2cltort_nr]:[v2clrgwkch_nr]])</f>
        <v>5</v>
      </c>
      <c r="AE85" s="4">
        <f>MAX(Table13[[#This Row],[v2clrgstch_nr]:[v2clrgwkch_nr]])</f>
        <v>4</v>
      </c>
    </row>
    <row r="86" spans="1:31" x14ac:dyDescent="0.35">
      <c r="A86" t="s">
        <v>4</v>
      </c>
      <c r="B86">
        <v>1984</v>
      </c>
      <c r="C86">
        <v>5</v>
      </c>
      <c r="D86">
        <v>5</v>
      </c>
      <c r="E86">
        <v>5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5</v>
      </c>
      <c r="W86">
        <v>5</v>
      </c>
      <c r="X86">
        <v>5</v>
      </c>
      <c r="Y86" s="3">
        <v>4</v>
      </c>
      <c r="Z86" s="3">
        <v>4</v>
      </c>
      <c r="AA86">
        <f>AVERAGE(Table13[[#This Row],[v2cltort_nr]:[v2clprptyw_nr]])</f>
        <v>5</v>
      </c>
      <c r="AB86">
        <f>AVERAGE(Table13[[#This Row],[v2clrgstch_nr]:[v2clrgwkch_nr]])</f>
        <v>4</v>
      </c>
      <c r="AC86">
        <f>Table13[[#This Row],[v2cl_avg]]-Table13[[#This Row],[v2clsn_avg]]</f>
        <v>1</v>
      </c>
      <c r="AD86" s="4">
        <f>MAX(Table13[[#This Row],[v2cltort_nr]:[v2clrgwkch_nr]])</f>
        <v>5</v>
      </c>
      <c r="AE86" s="4">
        <f>MAX(Table13[[#This Row],[v2clrgstch_nr]:[v2clrgwkch_nr]])</f>
        <v>4</v>
      </c>
    </row>
    <row r="87" spans="1:31" x14ac:dyDescent="0.35">
      <c r="A87" t="s">
        <v>4</v>
      </c>
      <c r="B87">
        <v>1985</v>
      </c>
      <c r="C87">
        <v>5</v>
      </c>
      <c r="D87">
        <v>5</v>
      </c>
      <c r="E87">
        <v>5</v>
      </c>
      <c r="F87">
        <v>5</v>
      </c>
      <c r="G87">
        <v>5</v>
      </c>
      <c r="H87">
        <v>5</v>
      </c>
      <c r="I87">
        <v>5</v>
      </c>
      <c r="J87">
        <v>5</v>
      </c>
      <c r="K87">
        <v>5</v>
      </c>
      <c r="L87">
        <v>5</v>
      </c>
      <c r="M87">
        <v>5</v>
      </c>
      <c r="N87">
        <v>5</v>
      </c>
      <c r="O87">
        <v>5</v>
      </c>
      <c r="P87">
        <v>5</v>
      </c>
      <c r="Q87">
        <v>5</v>
      </c>
      <c r="R87">
        <v>5</v>
      </c>
      <c r="S87">
        <v>5</v>
      </c>
      <c r="T87">
        <v>5</v>
      </c>
      <c r="U87">
        <v>5</v>
      </c>
      <c r="V87">
        <v>5</v>
      </c>
      <c r="W87">
        <v>5</v>
      </c>
      <c r="X87">
        <v>5</v>
      </c>
      <c r="Y87" s="3">
        <v>4</v>
      </c>
      <c r="Z87" s="3">
        <v>4</v>
      </c>
      <c r="AA87">
        <f>AVERAGE(Table13[[#This Row],[v2cltort_nr]:[v2clprptyw_nr]])</f>
        <v>5</v>
      </c>
      <c r="AB87">
        <f>AVERAGE(Table13[[#This Row],[v2clrgstch_nr]:[v2clrgwkch_nr]])</f>
        <v>4</v>
      </c>
      <c r="AC87">
        <f>Table13[[#This Row],[v2cl_avg]]-Table13[[#This Row],[v2clsn_avg]]</f>
        <v>1</v>
      </c>
      <c r="AD87" s="4">
        <f>MAX(Table13[[#This Row],[v2cltort_nr]:[v2clrgwkch_nr]])</f>
        <v>5</v>
      </c>
      <c r="AE87" s="4">
        <f>MAX(Table13[[#This Row],[v2clrgstch_nr]:[v2clrgwkch_nr]])</f>
        <v>4</v>
      </c>
    </row>
    <row r="88" spans="1:31" x14ac:dyDescent="0.35">
      <c r="A88" t="s">
        <v>4</v>
      </c>
      <c r="B88">
        <v>1986</v>
      </c>
      <c r="C88">
        <v>5</v>
      </c>
      <c r="D88">
        <v>5</v>
      </c>
      <c r="E88">
        <v>5</v>
      </c>
      <c r="F88">
        <v>5</v>
      </c>
      <c r="G88">
        <v>5</v>
      </c>
      <c r="H88">
        <v>5</v>
      </c>
      <c r="I88">
        <v>5</v>
      </c>
      <c r="J88">
        <v>5</v>
      </c>
      <c r="K88">
        <v>5</v>
      </c>
      <c r="L88">
        <v>5</v>
      </c>
      <c r="M88">
        <v>5</v>
      </c>
      <c r="N88">
        <v>5</v>
      </c>
      <c r="O88">
        <v>5</v>
      </c>
      <c r="P88">
        <v>5</v>
      </c>
      <c r="Q88">
        <v>5</v>
      </c>
      <c r="R88">
        <v>5</v>
      </c>
      <c r="S88">
        <v>5</v>
      </c>
      <c r="T88">
        <v>5</v>
      </c>
      <c r="U88">
        <v>5</v>
      </c>
      <c r="V88">
        <v>5</v>
      </c>
      <c r="W88">
        <v>5</v>
      </c>
      <c r="X88">
        <v>5</v>
      </c>
      <c r="Y88" s="3">
        <v>4</v>
      </c>
      <c r="Z88" s="3">
        <v>4</v>
      </c>
      <c r="AA88">
        <f>AVERAGE(Table13[[#This Row],[v2cltort_nr]:[v2clprptyw_nr]])</f>
        <v>5</v>
      </c>
      <c r="AB88">
        <f>AVERAGE(Table13[[#This Row],[v2clrgstch_nr]:[v2clrgwkch_nr]])</f>
        <v>4</v>
      </c>
      <c r="AC88">
        <f>Table13[[#This Row],[v2cl_avg]]-Table13[[#This Row],[v2clsn_avg]]</f>
        <v>1</v>
      </c>
      <c r="AD88" s="4">
        <f>MAX(Table13[[#This Row],[v2cltort_nr]:[v2clrgwkch_nr]])</f>
        <v>5</v>
      </c>
      <c r="AE88" s="4">
        <f>MAX(Table13[[#This Row],[v2clrgstch_nr]:[v2clrgwkch_nr]])</f>
        <v>4</v>
      </c>
    </row>
    <row r="89" spans="1:31" x14ac:dyDescent="0.35">
      <c r="A89" t="s">
        <v>4</v>
      </c>
      <c r="B89">
        <v>1987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5</v>
      </c>
      <c r="W89">
        <v>5</v>
      </c>
      <c r="X89">
        <v>5</v>
      </c>
      <c r="Y89" s="3">
        <v>4</v>
      </c>
      <c r="Z89" s="3">
        <v>4</v>
      </c>
      <c r="AA89">
        <f>AVERAGE(Table13[[#This Row],[v2cltort_nr]:[v2clprptyw_nr]])</f>
        <v>5</v>
      </c>
      <c r="AB89">
        <f>AVERAGE(Table13[[#This Row],[v2clrgstch_nr]:[v2clrgwkch_nr]])</f>
        <v>4</v>
      </c>
      <c r="AC89">
        <f>Table13[[#This Row],[v2cl_avg]]-Table13[[#This Row],[v2clsn_avg]]</f>
        <v>1</v>
      </c>
      <c r="AD89" s="4">
        <f>MAX(Table13[[#This Row],[v2cltort_nr]:[v2clrgwkch_nr]])</f>
        <v>5</v>
      </c>
      <c r="AE89" s="4">
        <f>MAX(Table13[[#This Row],[v2clrgstch_nr]:[v2clrgwkch_nr]])</f>
        <v>4</v>
      </c>
    </row>
    <row r="90" spans="1:31" x14ac:dyDescent="0.35">
      <c r="A90" t="s">
        <v>4</v>
      </c>
      <c r="B90">
        <v>1988</v>
      </c>
      <c r="C90">
        <v>5</v>
      </c>
      <c r="D90">
        <v>5</v>
      </c>
      <c r="E90">
        <v>5</v>
      </c>
      <c r="F90">
        <v>5</v>
      </c>
      <c r="G90">
        <v>5</v>
      </c>
      <c r="H90">
        <v>5</v>
      </c>
      <c r="I90">
        <v>5</v>
      </c>
      <c r="J90">
        <v>5</v>
      </c>
      <c r="K90">
        <v>5</v>
      </c>
      <c r="L90">
        <v>5</v>
      </c>
      <c r="M90">
        <v>5</v>
      </c>
      <c r="N90">
        <v>5</v>
      </c>
      <c r="O90">
        <v>5</v>
      </c>
      <c r="P90">
        <v>5</v>
      </c>
      <c r="Q90">
        <v>5</v>
      </c>
      <c r="R90">
        <v>5</v>
      </c>
      <c r="S90">
        <v>5</v>
      </c>
      <c r="T90">
        <v>5</v>
      </c>
      <c r="U90">
        <v>5</v>
      </c>
      <c r="V90">
        <v>5</v>
      </c>
      <c r="W90">
        <v>5</v>
      </c>
      <c r="X90">
        <v>5</v>
      </c>
      <c r="Y90" s="3">
        <v>4</v>
      </c>
      <c r="Z90" s="3">
        <v>4</v>
      </c>
      <c r="AA90">
        <f>AVERAGE(Table13[[#This Row],[v2cltort_nr]:[v2clprptyw_nr]])</f>
        <v>5</v>
      </c>
      <c r="AB90">
        <f>AVERAGE(Table13[[#This Row],[v2clrgstch_nr]:[v2clrgwkch_nr]])</f>
        <v>4</v>
      </c>
      <c r="AC90">
        <f>Table13[[#This Row],[v2cl_avg]]-Table13[[#This Row],[v2clsn_avg]]</f>
        <v>1</v>
      </c>
      <c r="AD90" s="4">
        <f>MAX(Table13[[#This Row],[v2cltort_nr]:[v2clrgwkch_nr]])</f>
        <v>5</v>
      </c>
      <c r="AE90" s="4">
        <f>MAX(Table13[[#This Row],[v2clrgstch_nr]:[v2clrgwkch_nr]])</f>
        <v>4</v>
      </c>
    </row>
    <row r="91" spans="1:31" x14ac:dyDescent="0.35">
      <c r="A91" t="s">
        <v>4</v>
      </c>
      <c r="B91">
        <v>1989</v>
      </c>
      <c r="C91">
        <v>5</v>
      </c>
      <c r="D91">
        <v>5</v>
      </c>
      <c r="E91">
        <v>5</v>
      </c>
      <c r="F91">
        <v>5</v>
      </c>
      <c r="G91">
        <v>5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 s="3">
        <v>4</v>
      </c>
      <c r="Z91" s="3">
        <v>4</v>
      </c>
      <c r="AA91">
        <f>AVERAGE(Table13[[#This Row],[v2cltort_nr]:[v2clprptyw_nr]])</f>
        <v>5</v>
      </c>
      <c r="AB91">
        <f>AVERAGE(Table13[[#This Row],[v2clrgstch_nr]:[v2clrgwkch_nr]])</f>
        <v>4</v>
      </c>
      <c r="AC91">
        <f>Table13[[#This Row],[v2cl_avg]]-Table13[[#This Row],[v2clsn_avg]]</f>
        <v>1</v>
      </c>
      <c r="AD91" s="4">
        <f>MAX(Table13[[#This Row],[v2cltort_nr]:[v2clrgwkch_nr]])</f>
        <v>5</v>
      </c>
      <c r="AE91" s="4">
        <f>MAX(Table13[[#This Row],[v2clrgstch_nr]:[v2clrgwkch_nr]])</f>
        <v>4</v>
      </c>
    </row>
    <row r="92" spans="1:31" x14ac:dyDescent="0.35">
      <c r="A92" t="s">
        <v>4</v>
      </c>
      <c r="B92">
        <v>1990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5</v>
      </c>
      <c r="V92">
        <v>5</v>
      </c>
      <c r="W92">
        <v>5</v>
      </c>
      <c r="X92">
        <v>5</v>
      </c>
      <c r="Y92" s="3">
        <v>4</v>
      </c>
      <c r="Z92" s="3">
        <v>4</v>
      </c>
      <c r="AA92">
        <f>AVERAGE(Table13[[#This Row],[v2cltort_nr]:[v2clprptyw_nr]])</f>
        <v>5</v>
      </c>
      <c r="AB92">
        <f>AVERAGE(Table13[[#This Row],[v2clrgstch_nr]:[v2clrgwkch_nr]])</f>
        <v>4</v>
      </c>
      <c r="AC92">
        <f>Table13[[#This Row],[v2cl_avg]]-Table13[[#This Row],[v2clsn_avg]]</f>
        <v>1</v>
      </c>
      <c r="AD92" s="4">
        <f>MAX(Table13[[#This Row],[v2cltort_nr]:[v2clrgwkch_nr]])</f>
        <v>5</v>
      </c>
      <c r="AE92" s="4">
        <f>MAX(Table13[[#This Row],[v2clrgstch_nr]:[v2clrgwkch_nr]])</f>
        <v>4</v>
      </c>
    </row>
    <row r="93" spans="1:31" x14ac:dyDescent="0.35">
      <c r="A93" t="s">
        <v>4</v>
      </c>
      <c r="B93">
        <v>1991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 s="3">
        <v>4</v>
      </c>
      <c r="Z93" s="3">
        <v>4</v>
      </c>
      <c r="AA93">
        <f>AVERAGE(Table13[[#This Row],[v2cltort_nr]:[v2clprptyw_nr]])</f>
        <v>5</v>
      </c>
      <c r="AB93">
        <f>AVERAGE(Table13[[#This Row],[v2clrgstch_nr]:[v2clrgwkch_nr]])</f>
        <v>4</v>
      </c>
      <c r="AC93">
        <f>Table13[[#This Row],[v2cl_avg]]-Table13[[#This Row],[v2clsn_avg]]</f>
        <v>1</v>
      </c>
      <c r="AD93" s="4">
        <f>MAX(Table13[[#This Row],[v2cltort_nr]:[v2clrgwkch_nr]])</f>
        <v>5</v>
      </c>
      <c r="AE93" s="4">
        <f>MAX(Table13[[#This Row],[v2clrgstch_nr]:[v2clrgwkch_nr]])</f>
        <v>4</v>
      </c>
    </row>
    <row r="94" spans="1:31" x14ac:dyDescent="0.35">
      <c r="A94" t="s">
        <v>4</v>
      </c>
      <c r="B94">
        <v>1992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5</v>
      </c>
      <c r="M94">
        <v>5</v>
      </c>
      <c r="N94">
        <v>5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 s="3">
        <v>4</v>
      </c>
      <c r="Z94" s="3">
        <v>4</v>
      </c>
      <c r="AA94">
        <f>AVERAGE(Table13[[#This Row],[v2cltort_nr]:[v2clprptyw_nr]])</f>
        <v>5</v>
      </c>
      <c r="AB94">
        <f>AVERAGE(Table13[[#This Row],[v2clrgstch_nr]:[v2clrgwkch_nr]])</f>
        <v>4</v>
      </c>
      <c r="AC94">
        <f>Table13[[#This Row],[v2cl_avg]]-Table13[[#This Row],[v2clsn_avg]]</f>
        <v>1</v>
      </c>
      <c r="AD94" s="4">
        <f>MAX(Table13[[#This Row],[v2cltort_nr]:[v2clrgwkch_nr]])</f>
        <v>5</v>
      </c>
      <c r="AE94" s="4">
        <f>MAX(Table13[[#This Row],[v2clrgstch_nr]:[v2clrgwkch_nr]])</f>
        <v>4</v>
      </c>
    </row>
    <row r="95" spans="1:31" x14ac:dyDescent="0.35">
      <c r="A95" t="s">
        <v>4</v>
      </c>
      <c r="B95">
        <v>1993</v>
      </c>
      <c r="C95">
        <v>5</v>
      </c>
      <c r="D95">
        <v>5</v>
      </c>
      <c r="E95">
        <v>5</v>
      </c>
      <c r="F95">
        <v>5</v>
      </c>
      <c r="G95">
        <v>5</v>
      </c>
      <c r="H95">
        <v>5</v>
      </c>
      <c r="I95">
        <v>5</v>
      </c>
      <c r="J95">
        <v>5</v>
      </c>
      <c r="K95">
        <v>5</v>
      </c>
      <c r="L95">
        <v>5</v>
      </c>
      <c r="M95">
        <v>5</v>
      </c>
      <c r="N95">
        <v>5</v>
      </c>
      <c r="O95">
        <v>5</v>
      </c>
      <c r="P95">
        <v>5</v>
      </c>
      <c r="Q95">
        <v>5</v>
      </c>
      <c r="R95">
        <v>5</v>
      </c>
      <c r="S95">
        <v>5</v>
      </c>
      <c r="T95">
        <v>5</v>
      </c>
      <c r="U95">
        <v>5</v>
      </c>
      <c r="V95">
        <v>5</v>
      </c>
      <c r="W95">
        <v>5</v>
      </c>
      <c r="X95">
        <v>5</v>
      </c>
      <c r="Y95" s="3">
        <v>4</v>
      </c>
      <c r="Z95" s="3">
        <v>4</v>
      </c>
      <c r="AA95">
        <f>AVERAGE(Table13[[#This Row],[v2cltort_nr]:[v2clprptyw_nr]])</f>
        <v>5</v>
      </c>
      <c r="AB95">
        <f>AVERAGE(Table13[[#This Row],[v2clrgstch_nr]:[v2clrgwkch_nr]])</f>
        <v>4</v>
      </c>
      <c r="AC95">
        <f>Table13[[#This Row],[v2cl_avg]]-Table13[[#This Row],[v2clsn_avg]]</f>
        <v>1</v>
      </c>
      <c r="AD95" s="4">
        <f>MAX(Table13[[#This Row],[v2cltort_nr]:[v2clrgwkch_nr]])</f>
        <v>5</v>
      </c>
      <c r="AE95" s="4">
        <f>MAX(Table13[[#This Row],[v2clrgstch_nr]:[v2clrgwkch_nr]])</f>
        <v>4</v>
      </c>
    </row>
    <row r="96" spans="1:31" x14ac:dyDescent="0.35">
      <c r="A96" t="s">
        <v>4</v>
      </c>
      <c r="B96">
        <v>1994</v>
      </c>
      <c r="C96">
        <v>5</v>
      </c>
      <c r="D96">
        <v>5</v>
      </c>
      <c r="E96">
        <v>5</v>
      </c>
      <c r="F96">
        <v>5</v>
      </c>
      <c r="G96">
        <v>5</v>
      </c>
      <c r="H96">
        <v>5</v>
      </c>
      <c r="I96">
        <v>5</v>
      </c>
      <c r="J96">
        <v>5</v>
      </c>
      <c r="K96">
        <v>5</v>
      </c>
      <c r="L96">
        <v>5</v>
      </c>
      <c r="M96">
        <v>5</v>
      </c>
      <c r="N96">
        <v>5</v>
      </c>
      <c r="O96">
        <v>5</v>
      </c>
      <c r="P96">
        <v>5</v>
      </c>
      <c r="Q96">
        <v>5</v>
      </c>
      <c r="R96">
        <v>5</v>
      </c>
      <c r="S96">
        <v>5</v>
      </c>
      <c r="T96">
        <v>5</v>
      </c>
      <c r="U96">
        <v>5</v>
      </c>
      <c r="V96">
        <v>5</v>
      </c>
      <c r="W96">
        <v>5</v>
      </c>
      <c r="X96">
        <v>5</v>
      </c>
      <c r="Y96" s="3">
        <v>4</v>
      </c>
      <c r="Z96" s="3">
        <v>4</v>
      </c>
      <c r="AA96">
        <f>AVERAGE(Table13[[#This Row],[v2cltort_nr]:[v2clprptyw_nr]])</f>
        <v>5</v>
      </c>
      <c r="AB96">
        <f>AVERAGE(Table13[[#This Row],[v2clrgstch_nr]:[v2clrgwkch_nr]])</f>
        <v>4</v>
      </c>
      <c r="AC96">
        <f>Table13[[#This Row],[v2cl_avg]]-Table13[[#This Row],[v2clsn_avg]]</f>
        <v>1</v>
      </c>
      <c r="AD96" s="4">
        <f>MAX(Table13[[#This Row],[v2cltort_nr]:[v2clrgwkch_nr]])</f>
        <v>5</v>
      </c>
      <c r="AE96" s="4">
        <f>MAX(Table13[[#This Row],[v2clrgstch_nr]:[v2clrgwkch_nr]])</f>
        <v>4</v>
      </c>
    </row>
    <row r="97" spans="1:31" x14ac:dyDescent="0.35">
      <c r="A97" t="s">
        <v>4</v>
      </c>
      <c r="B97">
        <v>1995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 s="3">
        <v>4</v>
      </c>
      <c r="Z97" s="3">
        <v>4</v>
      </c>
      <c r="AA97">
        <f>AVERAGE(Table13[[#This Row],[v2cltort_nr]:[v2clprptyw_nr]])</f>
        <v>5</v>
      </c>
      <c r="AB97">
        <f>AVERAGE(Table13[[#This Row],[v2clrgstch_nr]:[v2clrgwkch_nr]])</f>
        <v>4</v>
      </c>
      <c r="AC97">
        <f>Table13[[#This Row],[v2cl_avg]]-Table13[[#This Row],[v2clsn_avg]]</f>
        <v>1</v>
      </c>
      <c r="AD97" s="4">
        <f>MAX(Table13[[#This Row],[v2cltort_nr]:[v2clrgwkch_nr]])</f>
        <v>5</v>
      </c>
      <c r="AE97" s="4">
        <f>MAX(Table13[[#This Row],[v2clrgstch_nr]:[v2clrgwkch_nr]])</f>
        <v>4</v>
      </c>
    </row>
    <row r="98" spans="1:31" x14ac:dyDescent="0.35">
      <c r="A98" t="s">
        <v>4</v>
      </c>
      <c r="B98">
        <v>1996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 s="3">
        <v>4</v>
      </c>
      <c r="Z98" s="3">
        <v>4</v>
      </c>
      <c r="AA98">
        <f>AVERAGE(Table13[[#This Row],[v2cltort_nr]:[v2clprptyw_nr]])</f>
        <v>5</v>
      </c>
      <c r="AB98">
        <f>AVERAGE(Table13[[#This Row],[v2clrgstch_nr]:[v2clrgwkch_nr]])</f>
        <v>4</v>
      </c>
      <c r="AC98">
        <f>Table13[[#This Row],[v2cl_avg]]-Table13[[#This Row],[v2clsn_avg]]</f>
        <v>1</v>
      </c>
      <c r="AD98" s="4">
        <f>MAX(Table13[[#This Row],[v2cltort_nr]:[v2clrgwkch_nr]])</f>
        <v>5</v>
      </c>
      <c r="AE98" s="4">
        <f>MAX(Table13[[#This Row],[v2clrgstch_nr]:[v2clrgwkch_nr]])</f>
        <v>4</v>
      </c>
    </row>
    <row r="99" spans="1:31" x14ac:dyDescent="0.35">
      <c r="A99" t="s">
        <v>4</v>
      </c>
      <c r="B99">
        <v>1997</v>
      </c>
      <c r="C99">
        <v>5</v>
      </c>
      <c r="D99">
        <v>5</v>
      </c>
      <c r="E99">
        <v>5</v>
      </c>
      <c r="F99">
        <v>5</v>
      </c>
      <c r="G99">
        <v>5</v>
      </c>
      <c r="H99">
        <v>5</v>
      </c>
      <c r="I99">
        <v>5</v>
      </c>
      <c r="J99">
        <v>5</v>
      </c>
      <c r="K99">
        <v>5</v>
      </c>
      <c r="L99">
        <v>5</v>
      </c>
      <c r="M99">
        <v>5</v>
      </c>
      <c r="N99">
        <v>5</v>
      </c>
      <c r="O99">
        <v>5</v>
      </c>
      <c r="P99">
        <v>5</v>
      </c>
      <c r="Q99">
        <v>5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5</v>
      </c>
      <c r="Y99" s="3">
        <v>4</v>
      </c>
      <c r="Z99" s="3">
        <v>4</v>
      </c>
      <c r="AA99">
        <f>AVERAGE(Table13[[#This Row],[v2cltort_nr]:[v2clprptyw_nr]])</f>
        <v>5</v>
      </c>
      <c r="AB99">
        <f>AVERAGE(Table13[[#This Row],[v2clrgstch_nr]:[v2clrgwkch_nr]])</f>
        <v>4</v>
      </c>
      <c r="AC99">
        <f>Table13[[#This Row],[v2cl_avg]]-Table13[[#This Row],[v2clsn_avg]]</f>
        <v>1</v>
      </c>
      <c r="AD99" s="4">
        <f>MAX(Table13[[#This Row],[v2cltort_nr]:[v2clrgwkch_nr]])</f>
        <v>5</v>
      </c>
      <c r="AE99" s="4">
        <f>MAX(Table13[[#This Row],[v2clrgstch_nr]:[v2clrgwkch_nr]])</f>
        <v>4</v>
      </c>
    </row>
    <row r="100" spans="1:31" x14ac:dyDescent="0.35">
      <c r="A100" t="s">
        <v>4</v>
      </c>
      <c r="B100">
        <v>1998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5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 s="3">
        <v>4</v>
      </c>
      <c r="Z100" s="3">
        <v>4</v>
      </c>
      <c r="AA100">
        <f>AVERAGE(Table13[[#This Row],[v2cltort_nr]:[v2clprptyw_nr]])</f>
        <v>5</v>
      </c>
      <c r="AB100">
        <f>AVERAGE(Table13[[#This Row],[v2clrgstch_nr]:[v2clrgwkch_nr]])</f>
        <v>4</v>
      </c>
      <c r="AC100">
        <f>Table13[[#This Row],[v2cl_avg]]-Table13[[#This Row],[v2clsn_avg]]</f>
        <v>1</v>
      </c>
      <c r="AD100" s="4">
        <f>MAX(Table13[[#This Row],[v2cltort_nr]:[v2clrgwkch_nr]])</f>
        <v>5</v>
      </c>
      <c r="AE100" s="4">
        <f>MAX(Table13[[#This Row],[v2clrgstch_nr]:[v2clrgwkch_nr]])</f>
        <v>4</v>
      </c>
    </row>
    <row r="101" spans="1:31" x14ac:dyDescent="0.35">
      <c r="A101" t="s">
        <v>4</v>
      </c>
      <c r="B101">
        <v>1999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 s="3">
        <v>4</v>
      </c>
      <c r="Z101" s="3">
        <v>4</v>
      </c>
      <c r="AA101">
        <f>AVERAGE(Table13[[#This Row],[v2cltort_nr]:[v2clprptyw_nr]])</f>
        <v>5</v>
      </c>
      <c r="AB101">
        <f>AVERAGE(Table13[[#This Row],[v2clrgstch_nr]:[v2clrgwkch_nr]])</f>
        <v>4</v>
      </c>
      <c r="AC101">
        <f>Table13[[#This Row],[v2cl_avg]]-Table13[[#This Row],[v2clsn_avg]]</f>
        <v>1</v>
      </c>
      <c r="AD101" s="4">
        <f>MAX(Table13[[#This Row],[v2cltort_nr]:[v2clrgwkch_nr]])</f>
        <v>5</v>
      </c>
      <c r="AE101" s="4">
        <f>MAX(Table13[[#This Row],[v2clrgstch_nr]:[v2clrgwkch_nr]])</f>
        <v>4</v>
      </c>
    </row>
    <row r="102" spans="1:31" x14ac:dyDescent="0.35">
      <c r="A102" t="s">
        <v>4</v>
      </c>
      <c r="B102">
        <v>2000</v>
      </c>
      <c r="C102">
        <v>5</v>
      </c>
      <c r="D102">
        <v>5</v>
      </c>
      <c r="E102">
        <v>5</v>
      </c>
      <c r="F102">
        <v>5</v>
      </c>
      <c r="G102">
        <v>5</v>
      </c>
      <c r="H102">
        <v>5</v>
      </c>
      <c r="I102">
        <v>5</v>
      </c>
      <c r="J102">
        <v>5</v>
      </c>
      <c r="K102">
        <v>5</v>
      </c>
      <c r="L102">
        <v>5</v>
      </c>
      <c r="M102">
        <v>5</v>
      </c>
      <c r="N102">
        <v>5</v>
      </c>
      <c r="O102">
        <v>5</v>
      </c>
      <c r="P102">
        <v>5</v>
      </c>
      <c r="Q102">
        <v>5</v>
      </c>
      <c r="R102">
        <v>5</v>
      </c>
      <c r="S102">
        <v>5</v>
      </c>
      <c r="T102">
        <v>5</v>
      </c>
      <c r="U102">
        <v>5</v>
      </c>
      <c r="V102">
        <v>5</v>
      </c>
      <c r="W102">
        <v>5</v>
      </c>
      <c r="X102">
        <v>5</v>
      </c>
      <c r="Y102" s="3">
        <v>4</v>
      </c>
      <c r="Z102" s="3">
        <v>4</v>
      </c>
      <c r="AA102">
        <f>AVERAGE(Table13[[#This Row],[v2cltort_nr]:[v2clprptyw_nr]])</f>
        <v>5</v>
      </c>
      <c r="AB102">
        <f>AVERAGE(Table13[[#This Row],[v2clrgstch_nr]:[v2clrgwkch_nr]])</f>
        <v>4</v>
      </c>
      <c r="AC102">
        <f>Table13[[#This Row],[v2cl_avg]]-Table13[[#This Row],[v2clsn_avg]]</f>
        <v>1</v>
      </c>
      <c r="AD102" s="4">
        <f>MAX(Table13[[#This Row],[v2cltort_nr]:[v2clrgwkch_nr]])</f>
        <v>5</v>
      </c>
      <c r="AE102" s="4">
        <f>MAX(Table13[[#This Row],[v2clrgstch_nr]:[v2clrgwkch_nr]])</f>
        <v>4</v>
      </c>
    </row>
    <row r="103" spans="1:31" x14ac:dyDescent="0.35">
      <c r="A103" t="s">
        <v>4</v>
      </c>
      <c r="B103">
        <v>2001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 s="3">
        <v>4</v>
      </c>
      <c r="Z103" s="3">
        <v>4</v>
      </c>
      <c r="AA103">
        <f>AVERAGE(Table13[[#This Row],[v2cltort_nr]:[v2clprptyw_nr]])</f>
        <v>5</v>
      </c>
      <c r="AB103">
        <f>AVERAGE(Table13[[#This Row],[v2clrgstch_nr]:[v2clrgwkch_nr]])</f>
        <v>4</v>
      </c>
      <c r="AC103">
        <f>Table13[[#This Row],[v2cl_avg]]-Table13[[#This Row],[v2clsn_avg]]</f>
        <v>1</v>
      </c>
      <c r="AD103" s="4">
        <f>MAX(Table13[[#This Row],[v2cltort_nr]:[v2clrgwkch_nr]])</f>
        <v>5</v>
      </c>
      <c r="AE103" s="4">
        <f>MAX(Table13[[#This Row],[v2clrgstch_nr]:[v2clrgwkch_nr]])</f>
        <v>4</v>
      </c>
    </row>
    <row r="104" spans="1:31" x14ac:dyDescent="0.35">
      <c r="A104" t="s">
        <v>4</v>
      </c>
      <c r="B104">
        <v>2002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 s="3">
        <v>4</v>
      </c>
      <c r="Z104" s="3">
        <v>4</v>
      </c>
      <c r="AA104">
        <f>AVERAGE(Table13[[#This Row],[v2cltort_nr]:[v2clprptyw_nr]])</f>
        <v>5</v>
      </c>
      <c r="AB104">
        <f>AVERAGE(Table13[[#This Row],[v2clrgstch_nr]:[v2clrgwkch_nr]])</f>
        <v>4</v>
      </c>
      <c r="AC104">
        <f>Table13[[#This Row],[v2cl_avg]]-Table13[[#This Row],[v2clsn_avg]]</f>
        <v>1</v>
      </c>
      <c r="AD104" s="4">
        <f>MAX(Table13[[#This Row],[v2cltort_nr]:[v2clrgwkch_nr]])</f>
        <v>5</v>
      </c>
      <c r="AE104" s="4">
        <f>MAX(Table13[[#This Row],[v2clrgstch_nr]:[v2clrgwkch_nr]])</f>
        <v>4</v>
      </c>
    </row>
    <row r="105" spans="1:31" x14ac:dyDescent="0.35">
      <c r="A105" t="s">
        <v>4</v>
      </c>
      <c r="B105">
        <v>2003</v>
      </c>
      <c r="C105">
        <v>5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5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 s="3">
        <v>4</v>
      </c>
      <c r="Z105" s="3">
        <v>4</v>
      </c>
      <c r="AA105">
        <f>AVERAGE(Table13[[#This Row],[v2cltort_nr]:[v2clprptyw_nr]])</f>
        <v>5</v>
      </c>
      <c r="AB105">
        <f>AVERAGE(Table13[[#This Row],[v2clrgstch_nr]:[v2clrgwkch_nr]])</f>
        <v>4</v>
      </c>
      <c r="AC105">
        <f>Table13[[#This Row],[v2cl_avg]]-Table13[[#This Row],[v2clsn_avg]]</f>
        <v>1</v>
      </c>
      <c r="AD105" s="4">
        <f>MAX(Table13[[#This Row],[v2cltort_nr]:[v2clrgwkch_nr]])</f>
        <v>5</v>
      </c>
      <c r="AE105" s="4">
        <f>MAX(Table13[[#This Row],[v2clrgstch_nr]:[v2clrgwkch_nr]])</f>
        <v>4</v>
      </c>
    </row>
    <row r="106" spans="1:31" x14ac:dyDescent="0.35">
      <c r="A106" t="s">
        <v>4</v>
      </c>
      <c r="B106">
        <v>2004</v>
      </c>
      <c r="C106">
        <v>5</v>
      </c>
      <c r="D106">
        <v>5</v>
      </c>
      <c r="E106">
        <v>5</v>
      </c>
      <c r="F106">
        <v>5</v>
      </c>
      <c r="G106">
        <v>5</v>
      </c>
      <c r="H106">
        <v>5</v>
      </c>
      <c r="I106">
        <v>5</v>
      </c>
      <c r="J106">
        <v>5</v>
      </c>
      <c r="K106">
        <v>5</v>
      </c>
      <c r="L106">
        <v>5</v>
      </c>
      <c r="M106">
        <v>5</v>
      </c>
      <c r="N106">
        <v>5</v>
      </c>
      <c r="O106">
        <v>5</v>
      </c>
      <c r="P106">
        <v>5</v>
      </c>
      <c r="Q106">
        <v>5</v>
      </c>
      <c r="R106">
        <v>5</v>
      </c>
      <c r="S106">
        <v>5</v>
      </c>
      <c r="T106">
        <v>5</v>
      </c>
      <c r="U106">
        <v>5</v>
      </c>
      <c r="V106">
        <v>5</v>
      </c>
      <c r="W106">
        <v>5</v>
      </c>
      <c r="X106">
        <v>5</v>
      </c>
      <c r="Y106" s="3">
        <v>4</v>
      </c>
      <c r="Z106" s="3">
        <v>4</v>
      </c>
      <c r="AA106">
        <f>AVERAGE(Table13[[#This Row],[v2cltort_nr]:[v2clprptyw_nr]])</f>
        <v>5</v>
      </c>
      <c r="AB106">
        <f>AVERAGE(Table13[[#This Row],[v2clrgstch_nr]:[v2clrgwkch_nr]])</f>
        <v>4</v>
      </c>
      <c r="AC106">
        <f>Table13[[#This Row],[v2cl_avg]]-Table13[[#This Row],[v2clsn_avg]]</f>
        <v>1</v>
      </c>
      <c r="AD106" s="4">
        <f>MAX(Table13[[#This Row],[v2cltort_nr]:[v2clrgwkch_nr]])</f>
        <v>5</v>
      </c>
      <c r="AE106" s="4">
        <f>MAX(Table13[[#This Row],[v2clrgstch_nr]:[v2clrgwkch_nr]])</f>
        <v>4</v>
      </c>
    </row>
    <row r="107" spans="1:31" x14ac:dyDescent="0.35">
      <c r="A107" t="s">
        <v>4</v>
      </c>
      <c r="B107">
        <v>2005</v>
      </c>
      <c r="C107">
        <v>14</v>
      </c>
      <c r="D107">
        <v>14</v>
      </c>
      <c r="E107">
        <v>14</v>
      </c>
      <c r="F107">
        <v>14</v>
      </c>
      <c r="G107">
        <v>14</v>
      </c>
      <c r="H107">
        <v>14</v>
      </c>
      <c r="I107">
        <v>14</v>
      </c>
      <c r="J107">
        <v>14</v>
      </c>
      <c r="K107">
        <v>14</v>
      </c>
      <c r="L107">
        <v>14</v>
      </c>
      <c r="M107">
        <v>13</v>
      </c>
      <c r="N107">
        <v>13</v>
      </c>
      <c r="O107">
        <v>14</v>
      </c>
      <c r="P107">
        <v>14</v>
      </c>
      <c r="Q107">
        <v>14</v>
      </c>
      <c r="R107">
        <v>14</v>
      </c>
      <c r="S107">
        <v>14</v>
      </c>
      <c r="T107">
        <v>14</v>
      </c>
      <c r="U107">
        <v>14</v>
      </c>
      <c r="V107">
        <v>13</v>
      </c>
      <c r="W107">
        <v>13</v>
      </c>
      <c r="X107">
        <v>13</v>
      </c>
      <c r="Y107" s="3">
        <v>12</v>
      </c>
      <c r="Z107" s="3">
        <v>13</v>
      </c>
      <c r="AA107">
        <f>AVERAGE(Table13[[#This Row],[v2cltort_nr]:[v2clprptyw_nr]])</f>
        <v>13.772727272727273</v>
      </c>
      <c r="AB107">
        <f>AVERAGE(Table13[[#This Row],[v2clrgstch_nr]:[v2clrgwkch_nr]])</f>
        <v>12.5</v>
      </c>
      <c r="AC107">
        <f>Table13[[#This Row],[v2cl_avg]]-Table13[[#This Row],[v2clsn_avg]]</f>
        <v>1.2727272727272734</v>
      </c>
      <c r="AD107" s="4">
        <f>MAX(Table13[[#This Row],[v2cltort_nr]:[v2clrgwkch_nr]])</f>
        <v>14</v>
      </c>
      <c r="AE107" s="4">
        <f>MAX(Table13[[#This Row],[v2clrgstch_nr]:[v2clrgwkch_nr]])</f>
        <v>13</v>
      </c>
    </row>
    <row r="108" spans="1:31" x14ac:dyDescent="0.35">
      <c r="A108" t="s">
        <v>4</v>
      </c>
      <c r="B108">
        <v>2006</v>
      </c>
      <c r="C108">
        <v>14</v>
      </c>
      <c r="D108">
        <v>14</v>
      </c>
      <c r="E108">
        <v>14</v>
      </c>
      <c r="F108">
        <v>14</v>
      </c>
      <c r="G108">
        <v>14</v>
      </c>
      <c r="H108">
        <v>14</v>
      </c>
      <c r="I108">
        <v>14</v>
      </c>
      <c r="J108">
        <v>14</v>
      </c>
      <c r="K108">
        <v>14</v>
      </c>
      <c r="L108">
        <v>14</v>
      </c>
      <c r="M108">
        <v>13</v>
      </c>
      <c r="N108">
        <v>13</v>
      </c>
      <c r="O108">
        <v>14</v>
      </c>
      <c r="P108">
        <v>14</v>
      </c>
      <c r="Q108">
        <v>14</v>
      </c>
      <c r="R108">
        <v>14</v>
      </c>
      <c r="S108">
        <v>14</v>
      </c>
      <c r="T108">
        <v>14</v>
      </c>
      <c r="U108">
        <v>14</v>
      </c>
      <c r="V108">
        <v>13</v>
      </c>
      <c r="W108">
        <v>13</v>
      </c>
      <c r="X108">
        <v>13</v>
      </c>
      <c r="Y108" s="3">
        <v>12</v>
      </c>
      <c r="Z108" s="3">
        <v>13</v>
      </c>
      <c r="AA108">
        <f>AVERAGE(Table13[[#This Row],[v2cltort_nr]:[v2clprptyw_nr]])</f>
        <v>13.772727272727273</v>
      </c>
      <c r="AB108">
        <f>AVERAGE(Table13[[#This Row],[v2clrgstch_nr]:[v2clrgwkch_nr]])</f>
        <v>12.5</v>
      </c>
      <c r="AC108">
        <f>Table13[[#This Row],[v2cl_avg]]-Table13[[#This Row],[v2clsn_avg]]</f>
        <v>1.2727272727272734</v>
      </c>
      <c r="AD108" s="4">
        <f>MAX(Table13[[#This Row],[v2cltort_nr]:[v2clrgwkch_nr]])</f>
        <v>14</v>
      </c>
      <c r="AE108" s="4">
        <f>MAX(Table13[[#This Row],[v2clrgstch_nr]:[v2clrgwkch_nr]])</f>
        <v>13</v>
      </c>
    </row>
    <row r="109" spans="1:31" x14ac:dyDescent="0.35">
      <c r="A109" t="s">
        <v>4</v>
      </c>
      <c r="B109">
        <v>2007</v>
      </c>
      <c r="C109">
        <v>14</v>
      </c>
      <c r="D109">
        <v>14</v>
      </c>
      <c r="E109">
        <v>14</v>
      </c>
      <c r="F109">
        <v>14</v>
      </c>
      <c r="G109">
        <v>14</v>
      </c>
      <c r="H109">
        <v>14</v>
      </c>
      <c r="I109">
        <v>14</v>
      </c>
      <c r="J109">
        <v>14</v>
      </c>
      <c r="K109">
        <v>14</v>
      </c>
      <c r="L109">
        <v>14</v>
      </c>
      <c r="M109">
        <v>13</v>
      </c>
      <c r="N109">
        <v>13</v>
      </c>
      <c r="O109">
        <v>14</v>
      </c>
      <c r="P109">
        <v>14</v>
      </c>
      <c r="Q109">
        <v>14</v>
      </c>
      <c r="R109">
        <v>14</v>
      </c>
      <c r="S109">
        <v>14</v>
      </c>
      <c r="T109">
        <v>14</v>
      </c>
      <c r="U109">
        <v>14</v>
      </c>
      <c r="V109">
        <v>13</v>
      </c>
      <c r="W109">
        <v>13</v>
      </c>
      <c r="X109">
        <v>13</v>
      </c>
      <c r="Y109" s="3">
        <v>12</v>
      </c>
      <c r="Z109" s="3">
        <v>13</v>
      </c>
      <c r="AA109">
        <f>AVERAGE(Table13[[#This Row],[v2cltort_nr]:[v2clprptyw_nr]])</f>
        <v>13.772727272727273</v>
      </c>
      <c r="AB109">
        <f>AVERAGE(Table13[[#This Row],[v2clrgstch_nr]:[v2clrgwkch_nr]])</f>
        <v>12.5</v>
      </c>
      <c r="AC109">
        <f>Table13[[#This Row],[v2cl_avg]]-Table13[[#This Row],[v2clsn_avg]]</f>
        <v>1.2727272727272734</v>
      </c>
      <c r="AD109" s="4">
        <f>MAX(Table13[[#This Row],[v2cltort_nr]:[v2clrgwkch_nr]])</f>
        <v>14</v>
      </c>
      <c r="AE109" s="4">
        <f>MAX(Table13[[#This Row],[v2clrgstch_nr]:[v2clrgwkch_nr]])</f>
        <v>13</v>
      </c>
    </row>
    <row r="110" spans="1:31" x14ac:dyDescent="0.35">
      <c r="A110" t="s">
        <v>4</v>
      </c>
      <c r="B110">
        <v>2008</v>
      </c>
      <c r="C110">
        <v>14</v>
      </c>
      <c r="D110">
        <v>14</v>
      </c>
      <c r="E110">
        <v>14</v>
      </c>
      <c r="F110">
        <v>14</v>
      </c>
      <c r="G110">
        <v>14</v>
      </c>
      <c r="H110">
        <v>14</v>
      </c>
      <c r="I110">
        <v>14</v>
      </c>
      <c r="J110">
        <v>14</v>
      </c>
      <c r="K110">
        <v>14</v>
      </c>
      <c r="L110">
        <v>14</v>
      </c>
      <c r="M110">
        <v>13</v>
      </c>
      <c r="N110">
        <v>13</v>
      </c>
      <c r="O110">
        <v>14</v>
      </c>
      <c r="P110">
        <v>14</v>
      </c>
      <c r="Q110">
        <v>14</v>
      </c>
      <c r="R110">
        <v>14</v>
      </c>
      <c r="S110">
        <v>14</v>
      </c>
      <c r="T110">
        <v>14</v>
      </c>
      <c r="U110">
        <v>14</v>
      </c>
      <c r="V110">
        <v>13</v>
      </c>
      <c r="W110">
        <v>13</v>
      </c>
      <c r="X110">
        <v>13</v>
      </c>
      <c r="Y110" s="3">
        <v>12</v>
      </c>
      <c r="Z110" s="3">
        <v>13</v>
      </c>
      <c r="AA110">
        <f>AVERAGE(Table13[[#This Row],[v2cltort_nr]:[v2clprptyw_nr]])</f>
        <v>13.772727272727273</v>
      </c>
      <c r="AB110">
        <f>AVERAGE(Table13[[#This Row],[v2clrgstch_nr]:[v2clrgwkch_nr]])</f>
        <v>12.5</v>
      </c>
      <c r="AC110">
        <f>Table13[[#This Row],[v2cl_avg]]-Table13[[#This Row],[v2clsn_avg]]</f>
        <v>1.2727272727272734</v>
      </c>
      <c r="AD110" s="4">
        <f>MAX(Table13[[#This Row],[v2cltort_nr]:[v2clrgwkch_nr]])</f>
        <v>14</v>
      </c>
      <c r="AE110" s="4">
        <f>MAX(Table13[[#This Row],[v2clrgstch_nr]:[v2clrgwkch_nr]])</f>
        <v>13</v>
      </c>
    </row>
    <row r="111" spans="1:31" x14ac:dyDescent="0.35">
      <c r="A111" t="s">
        <v>4</v>
      </c>
      <c r="B111">
        <v>2009</v>
      </c>
      <c r="C111">
        <v>14</v>
      </c>
      <c r="D111">
        <v>14</v>
      </c>
      <c r="E111">
        <v>14</v>
      </c>
      <c r="F111">
        <v>14</v>
      </c>
      <c r="G111">
        <v>14</v>
      </c>
      <c r="H111">
        <v>14</v>
      </c>
      <c r="I111">
        <v>14</v>
      </c>
      <c r="J111">
        <v>14</v>
      </c>
      <c r="K111">
        <v>14</v>
      </c>
      <c r="L111">
        <v>14</v>
      </c>
      <c r="M111">
        <v>13</v>
      </c>
      <c r="N111">
        <v>13</v>
      </c>
      <c r="O111">
        <v>14</v>
      </c>
      <c r="P111">
        <v>14</v>
      </c>
      <c r="Q111">
        <v>14</v>
      </c>
      <c r="R111">
        <v>14</v>
      </c>
      <c r="S111">
        <v>14</v>
      </c>
      <c r="T111">
        <v>14</v>
      </c>
      <c r="U111">
        <v>14</v>
      </c>
      <c r="V111">
        <v>13</v>
      </c>
      <c r="W111">
        <v>13</v>
      </c>
      <c r="X111">
        <v>13</v>
      </c>
      <c r="Y111" s="3">
        <v>12</v>
      </c>
      <c r="Z111" s="3">
        <v>13</v>
      </c>
      <c r="AA111">
        <f>AVERAGE(Table13[[#This Row],[v2cltort_nr]:[v2clprptyw_nr]])</f>
        <v>13.772727272727273</v>
      </c>
      <c r="AB111">
        <f>AVERAGE(Table13[[#This Row],[v2clrgstch_nr]:[v2clrgwkch_nr]])</f>
        <v>12.5</v>
      </c>
      <c r="AC111">
        <f>Table13[[#This Row],[v2cl_avg]]-Table13[[#This Row],[v2clsn_avg]]</f>
        <v>1.2727272727272734</v>
      </c>
      <c r="AD111" s="4">
        <f>MAX(Table13[[#This Row],[v2cltort_nr]:[v2clrgwkch_nr]])</f>
        <v>14</v>
      </c>
      <c r="AE111" s="4">
        <f>MAX(Table13[[#This Row],[v2clrgstch_nr]:[v2clrgwkch_nr]])</f>
        <v>13</v>
      </c>
    </row>
    <row r="112" spans="1:31" x14ac:dyDescent="0.35">
      <c r="A112" t="s">
        <v>4</v>
      </c>
      <c r="B112">
        <v>2010</v>
      </c>
      <c r="C112">
        <v>14</v>
      </c>
      <c r="D112">
        <v>14</v>
      </c>
      <c r="E112">
        <v>14</v>
      </c>
      <c r="F112">
        <v>14</v>
      </c>
      <c r="G112">
        <v>14</v>
      </c>
      <c r="H112">
        <v>14</v>
      </c>
      <c r="I112">
        <v>14</v>
      </c>
      <c r="J112">
        <v>14</v>
      </c>
      <c r="K112">
        <v>14</v>
      </c>
      <c r="L112">
        <v>14</v>
      </c>
      <c r="M112">
        <v>13</v>
      </c>
      <c r="N112">
        <v>13</v>
      </c>
      <c r="O112">
        <v>14</v>
      </c>
      <c r="P112">
        <v>14</v>
      </c>
      <c r="Q112">
        <v>14</v>
      </c>
      <c r="R112">
        <v>14</v>
      </c>
      <c r="S112">
        <v>14</v>
      </c>
      <c r="T112">
        <v>14</v>
      </c>
      <c r="U112">
        <v>14</v>
      </c>
      <c r="V112">
        <v>13</v>
      </c>
      <c r="W112">
        <v>13</v>
      </c>
      <c r="X112">
        <v>13</v>
      </c>
      <c r="Y112" s="3">
        <v>12</v>
      </c>
      <c r="Z112" s="3">
        <v>13</v>
      </c>
      <c r="AA112">
        <f>AVERAGE(Table13[[#This Row],[v2cltort_nr]:[v2clprptyw_nr]])</f>
        <v>13.772727272727273</v>
      </c>
      <c r="AB112">
        <f>AVERAGE(Table13[[#This Row],[v2clrgstch_nr]:[v2clrgwkch_nr]])</f>
        <v>12.5</v>
      </c>
      <c r="AC112">
        <f>Table13[[#This Row],[v2cl_avg]]-Table13[[#This Row],[v2clsn_avg]]</f>
        <v>1.2727272727272734</v>
      </c>
      <c r="AD112" s="4">
        <f>MAX(Table13[[#This Row],[v2cltort_nr]:[v2clrgwkch_nr]])</f>
        <v>14</v>
      </c>
      <c r="AE112" s="4">
        <f>MAX(Table13[[#This Row],[v2clrgstch_nr]:[v2clrgwkch_nr]])</f>
        <v>13</v>
      </c>
    </row>
    <row r="113" spans="1:31" x14ac:dyDescent="0.35">
      <c r="A113" t="s">
        <v>4</v>
      </c>
      <c r="B113">
        <v>2011</v>
      </c>
      <c r="C113">
        <v>14</v>
      </c>
      <c r="D113">
        <v>14</v>
      </c>
      <c r="E113">
        <v>14</v>
      </c>
      <c r="F113">
        <v>14</v>
      </c>
      <c r="G113">
        <v>14</v>
      </c>
      <c r="H113">
        <v>14</v>
      </c>
      <c r="I113">
        <v>14</v>
      </c>
      <c r="J113">
        <v>14</v>
      </c>
      <c r="K113">
        <v>14</v>
      </c>
      <c r="L113">
        <v>14</v>
      </c>
      <c r="M113">
        <v>13</v>
      </c>
      <c r="N113">
        <v>13</v>
      </c>
      <c r="O113">
        <v>14</v>
      </c>
      <c r="P113">
        <v>14</v>
      </c>
      <c r="Q113">
        <v>14</v>
      </c>
      <c r="R113">
        <v>14</v>
      </c>
      <c r="S113">
        <v>14</v>
      </c>
      <c r="T113">
        <v>14</v>
      </c>
      <c r="U113">
        <v>14</v>
      </c>
      <c r="V113">
        <v>13</v>
      </c>
      <c r="W113">
        <v>13</v>
      </c>
      <c r="X113">
        <v>13</v>
      </c>
      <c r="Y113" s="3">
        <v>12</v>
      </c>
      <c r="Z113" s="3">
        <v>13</v>
      </c>
      <c r="AA113">
        <f>AVERAGE(Table13[[#This Row],[v2cltort_nr]:[v2clprptyw_nr]])</f>
        <v>13.772727272727273</v>
      </c>
      <c r="AB113">
        <f>AVERAGE(Table13[[#This Row],[v2clrgstch_nr]:[v2clrgwkch_nr]])</f>
        <v>12.5</v>
      </c>
      <c r="AC113">
        <f>Table13[[#This Row],[v2cl_avg]]-Table13[[#This Row],[v2clsn_avg]]</f>
        <v>1.2727272727272734</v>
      </c>
      <c r="AD113" s="4">
        <f>MAX(Table13[[#This Row],[v2cltort_nr]:[v2clrgwkch_nr]])</f>
        <v>14</v>
      </c>
      <c r="AE113" s="4">
        <f>MAX(Table13[[#This Row],[v2clrgstch_nr]:[v2clrgwkch_nr]])</f>
        <v>13</v>
      </c>
    </row>
    <row r="114" spans="1:31" x14ac:dyDescent="0.35">
      <c r="A114" t="s">
        <v>4</v>
      </c>
      <c r="B114">
        <v>2012</v>
      </c>
      <c r="C114">
        <v>14</v>
      </c>
      <c r="D114">
        <v>14</v>
      </c>
      <c r="E114">
        <v>14</v>
      </c>
      <c r="F114">
        <v>14</v>
      </c>
      <c r="G114">
        <v>14</v>
      </c>
      <c r="H114">
        <v>14</v>
      </c>
      <c r="I114">
        <v>14</v>
      </c>
      <c r="J114">
        <v>14</v>
      </c>
      <c r="K114">
        <v>14</v>
      </c>
      <c r="L114">
        <v>14</v>
      </c>
      <c r="M114">
        <v>13</v>
      </c>
      <c r="N114">
        <v>13</v>
      </c>
      <c r="O114">
        <v>14</v>
      </c>
      <c r="P114">
        <v>14</v>
      </c>
      <c r="Q114">
        <v>14</v>
      </c>
      <c r="R114">
        <v>14</v>
      </c>
      <c r="S114">
        <v>14</v>
      </c>
      <c r="T114">
        <v>14</v>
      </c>
      <c r="U114">
        <v>14</v>
      </c>
      <c r="V114">
        <v>13</v>
      </c>
      <c r="W114">
        <v>13</v>
      </c>
      <c r="X114">
        <v>13</v>
      </c>
      <c r="Y114" s="3">
        <v>12</v>
      </c>
      <c r="Z114" s="3">
        <v>13</v>
      </c>
      <c r="AA114">
        <f>AVERAGE(Table13[[#This Row],[v2cltort_nr]:[v2clprptyw_nr]])</f>
        <v>13.772727272727273</v>
      </c>
      <c r="AB114">
        <f>AVERAGE(Table13[[#This Row],[v2clrgstch_nr]:[v2clrgwkch_nr]])</f>
        <v>12.5</v>
      </c>
      <c r="AC114">
        <f>Table13[[#This Row],[v2cl_avg]]-Table13[[#This Row],[v2clsn_avg]]</f>
        <v>1.2727272727272734</v>
      </c>
      <c r="AD114" s="4">
        <f>MAX(Table13[[#This Row],[v2cltort_nr]:[v2clrgwkch_nr]])</f>
        <v>14</v>
      </c>
      <c r="AE114" s="4">
        <f>MAX(Table13[[#This Row],[v2clrgstch_nr]:[v2clrgwkch_nr]])</f>
        <v>13</v>
      </c>
    </row>
    <row r="115" spans="1:31" x14ac:dyDescent="0.35">
      <c r="A115" t="s">
        <v>4</v>
      </c>
      <c r="B115">
        <v>2013</v>
      </c>
      <c r="C115">
        <v>13</v>
      </c>
      <c r="D115">
        <v>13</v>
      </c>
      <c r="E115">
        <v>13</v>
      </c>
      <c r="F115">
        <v>13</v>
      </c>
      <c r="G115">
        <v>13</v>
      </c>
      <c r="H115">
        <v>13</v>
      </c>
      <c r="I115">
        <v>13</v>
      </c>
      <c r="J115">
        <v>13</v>
      </c>
      <c r="K115">
        <v>13</v>
      </c>
      <c r="L115">
        <v>13</v>
      </c>
      <c r="M115">
        <v>12</v>
      </c>
      <c r="N115">
        <v>12</v>
      </c>
      <c r="O115">
        <v>13</v>
      </c>
      <c r="P115">
        <v>13</v>
      </c>
      <c r="Q115">
        <v>13</v>
      </c>
      <c r="R115">
        <v>13</v>
      </c>
      <c r="S115">
        <v>13</v>
      </c>
      <c r="T115">
        <v>13</v>
      </c>
      <c r="U115">
        <v>13</v>
      </c>
      <c r="V115">
        <v>12</v>
      </c>
      <c r="W115">
        <v>12</v>
      </c>
      <c r="X115">
        <v>12</v>
      </c>
      <c r="Y115" s="3">
        <v>12</v>
      </c>
      <c r="Z115" s="3">
        <v>13</v>
      </c>
      <c r="AA115">
        <f>AVERAGE(Table13[[#This Row],[v2cltort_nr]:[v2clprptyw_nr]])</f>
        <v>12.772727272727273</v>
      </c>
      <c r="AB115">
        <f>AVERAGE(Table13[[#This Row],[v2clrgstch_nr]:[v2clrgwkch_nr]])</f>
        <v>12.5</v>
      </c>
      <c r="AC115">
        <f>Table13[[#This Row],[v2cl_avg]]-Table13[[#This Row],[v2clsn_avg]]</f>
        <v>0.27272727272727337</v>
      </c>
      <c r="AD115" s="4">
        <f>MAX(Table13[[#This Row],[v2cltort_nr]:[v2clrgwkch_nr]])</f>
        <v>13</v>
      </c>
      <c r="AE115" s="4">
        <f>MAX(Table13[[#This Row],[v2clrgstch_nr]:[v2clrgwkch_nr]])</f>
        <v>13</v>
      </c>
    </row>
    <row r="116" spans="1:31" x14ac:dyDescent="0.35">
      <c r="A116" t="s">
        <v>4</v>
      </c>
      <c r="B116">
        <v>2014</v>
      </c>
      <c r="C116">
        <v>13</v>
      </c>
      <c r="D116">
        <v>13</v>
      </c>
      <c r="E116">
        <v>13</v>
      </c>
      <c r="F116">
        <v>13</v>
      </c>
      <c r="G116">
        <v>13</v>
      </c>
      <c r="H116">
        <v>13</v>
      </c>
      <c r="I116">
        <v>13</v>
      </c>
      <c r="J116">
        <v>13</v>
      </c>
      <c r="K116">
        <v>13</v>
      </c>
      <c r="L116">
        <v>13</v>
      </c>
      <c r="M116">
        <v>12</v>
      </c>
      <c r="N116">
        <v>12</v>
      </c>
      <c r="O116">
        <v>13</v>
      </c>
      <c r="P116">
        <v>13</v>
      </c>
      <c r="Q116">
        <v>13</v>
      </c>
      <c r="R116">
        <v>13</v>
      </c>
      <c r="S116">
        <v>13</v>
      </c>
      <c r="T116">
        <v>13</v>
      </c>
      <c r="U116">
        <v>13</v>
      </c>
      <c r="V116">
        <v>12</v>
      </c>
      <c r="W116">
        <v>12</v>
      </c>
      <c r="X116">
        <v>12</v>
      </c>
      <c r="Y116" s="3">
        <v>12</v>
      </c>
      <c r="Z116" s="3">
        <v>13</v>
      </c>
      <c r="AA116">
        <f>AVERAGE(Table13[[#This Row],[v2cltort_nr]:[v2clprptyw_nr]])</f>
        <v>12.772727272727273</v>
      </c>
      <c r="AB116">
        <f>AVERAGE(Table13[[#This Row],[v2clrgstch_nr]:[v2clrgwkch_nr]])</f>
        <v>12.5</v>
      </c>
      <c r="AC116">
        <f>Table13[[#This Row],[v2cl_avg]]-Table13[[#This Row],[v2clsn_avg]]</f>
        <v>0.27272727272727337</v>
      </c>
      <c r="AD116" s="4">
        <f>MAX(Table13[[#This Row],[v2cltort_nr]:[v2clrgwkch_nr]])</f>
        <v>13</v>
      </c>
      <c r="AE116" s="4">
        <f>MAX(Table13[[#This Row],[v2clrgstch_nr]:[v2clrgwkch_nr]])</f>
        <v>13</v>
      </c>
    </row>
    <row r="117" spans="1:31" x14ac:dyDescent="0.35">
      <c r="A117" t="s">
        <v>4</v>
      </c>
      <c r="B117">
        <v>2015</v>
      </c>
      <c r="C117">
        <v>13</v>
      </c>
      <c r="D117">
        <v>13</v>
      </c>
      <c r="E117">
        <v>13</v>
      </c>
      <c r="F117">
        <v>13</v>
      </c>
      <c r="G117">
        <v>13</v>
      </c>
      <c r="H117">
        <v>13</v>
      </c>
      <c r="I117">
        <v>13</v>
      </c>
      <c r="J117">
        <v>13</v>
      </c>
      <c r="K117">
        <v>13</v>
      </c>
      <c r="L117">
        <v>13</v>
      </c>
      <c r="M117">
        <v>12</v>
      </c>
      <c r="N117">
        <v>12</v>
      </c>
      <c r="O117">
        <v>13</v>
      </c>
      <c r="P117">
        <v>13</v>
      </c>
      <c r="Q117">
        <v>13</v>
      </c>
      <c r="R117">
        <v>13</v>
      </c>
      <c r="S117">
        <v>13</v>
      </c>
      <c r="T117">
        <v>13</v>
      </c>
      <c r="U117">
        <v>13</v>
      </c>
      <c r="V117">
        <v>12</v>
      </c>
      <c r="W117">
        <v>12</v>
      </c>
      <c r="X117">
        <v>12</v>
      </c>
      <c r="Y117" s="3">
        <v>12</v>
      </c>
      <c r="Z117" s="3">
        <v>13</v>
      </c>
      <c r="AA117">
        <f>AVERAGE(Table13[[#This Row],[v2cltort_nr]:[v2clprptyw_nr]])</f>
        <v>12.772727272727273</v>
      </c>
      <c r="AB117">
        <f>AVERAGE(Table13[[#This Row],[v2clrgstch_nr]:[v2clrgwkch_nr]])</f>
        <v>12.5</v>
      </c>
      <c r="AC117">
        <f>Table13[[#This Row],[v2cl_avg]]-Table13[[#This Row],[v2clsn_avg]]</f>
        <v>0.27272727272727337</v>
      </c>
      <c r="AD117" s="4">
        <f>MAX(Table13[[#This Row],[v2cltort_nr]:[v2clrgwkch_nr]])</f>
        <v>13</v>
      </c>
      <c r="AE117" s="4">
        <f>MAX(Table13[[#This Row],[v2clrgstch_nr]:[v2clrgwkch_nr]])</f>
        <v>13</v>
      </c>
    </row>
    <row r="118" spans="1:31" x14ac:dyDescent="0.35">
      <c r="A118" t="s">
        <v>4</v>
      </c>
      <c r="B118">
        <v>2016</v>
      </c>
      <c r="C118">
        <v>12</v>
      </c>
      <c r="D118">
        <v>12</v>
      </c>
      <c r="E118">
        <v>12</v>
      </c>
      <c r="F118">
        <v>12</v>
      </c>
      <c r="G118">
        <v>12</v>
      </c>
      <c r="H118">
        <v>12</v>
      </c>
      <c r="I118">
        <v>12</v>
      </c>
      <c r="J118">
        <v>12</v>
      </c>
      <c r="K118">
        <v>12</v>
      </c>
      <c r="L118">
        <v>12</v>
      </c>
      <c r="M118">
        <v>11</v>
      </c>
      <c r="N118">
        <v>11</v>
      </c>
      <c r="O118">
        <v>12</v>
      </c>
      <c r="P118">
        <v>12</v>
      </c>
      <c r="Q118">
        <v>12</v>
      </c>
      <c r="R118">
        <v>12</v>
      </c>
      <c r="S118">
        <v>12</v>
      </c>
      <c r="T118">
        <v>12</v>
      </c>
      <c r="U118">
        <v>12</v>
      </c>
      <c r="V118">
        <v>11</v>
      </c>
      <c r="W118">
        <v>11</v>
      </c>
      <c r="X118">
        <v>11</v>
      </c>
      <c r="Y118" s="3">
        <v>11</v>
      </c>
      <c r="Z118" s="3">
        <v>12</v>
      </c>
      <c r="AA118">
        <f>AVERAGE(Table13[[#This Row],[v2cltort_nr]:[v2clprptyw_nr]])</f>
        <v>11.772727272727273</v>
      </c>
      <c r="AB118">
        <f>AVERAGE(Table13[[#This Row],[v2clrgstch_nr]:[v2clrgwkch_nr]])</f>
        <v>11.5</v>
      </c>
      <c r="AC118">
        <f>Table13[[#This Row],[v2cl_avg]]-Table13[[#This Row],[v2clsn_avg]]</f>
        <v>0.27272727272727337</v>
      </c>
      <c r="AD118" s="4">
        <f>MAX(Table13[[#This Row],[v2cltort_nr]:[v2clrgwkch_nr]])</f>
        <v>12</v>
      </c>
      <c r="AE118" s="4">
        <f>MAX(Table13[[#This Row],[v2clrgstch_nr]:[v2clrgwkch_nr]])</f>
        <v>12</v>
      </c>
    </row>
    <row r="119" spans="1:31" x14ac:dyDescent="0.35">
      <c r="A119" t="s">
        <v>4</v>
      </c>
      <c r="B119">
        <v>2017</v>
      </c>
      <c r="C119">
        <v>11</v>
      </c>
      <c r="D119">
        <v>11</v>
      </c>
      <c r="E119">
        <v>11</v>
      </c>
      <c r="F119">
        <v>11</v>
      </c>
      <c r="G119">
        <v>11</v>
      </c>
      <c r="H119">
        <v>11</v>
      </c>
      <c r="I119">
        <v>11</v>
      </c>
      <c r="J119">
        <v>11</v>
      </c>
      <c r="K119">
        <v>11</v>
      </c>
      <c r="L119">
        <v>11</v>
      </c>
      <c r="M119">
        <v>10</v>
      </c>
      <c r="N119">
        <v>10</v>
      </c>
      <c r="O119">
        <v>11</v>
      </c>
      <c r="P119">
        <v>11</v>
      </c>
      <c r="Q119">
        <v>11</v>
      </c>
      <c r="R119">
        <v>11</v>
      </c>
      <c r="S119">
        <v>11</v>
      </c>
      <c r="T119">
        <v>11</v>
      </c>
      <c r="U119">
        <v>11</v>
      </c>
      <c r="V119">
        <v>10</v>
      </c>
      <c r="W119">
        <v>10</v>
      </c>
      <c r="X119">
        <v>10</v>
      </c>
      <c r="Y119" s="3">
        <v>10</v>
      </c>
      <c r="Z119" s="3">
        <v>11</v>
      </c>
      <c r="AA119">
        <f>AVERAGE(Table13[[#This Row],[v2cltort_nr]:[v2clprptyw_nr]])</f>
        <v>10.772727272727273</v>
      </c>
      <c r="AB119">
        <f>AVERAGE(Table13[[#This Row],[v2clrgstch_nr]:[v2clrgwkch_nr]])</f>
        <v>10.5</v>
      </c>
      <c r="AC119">
        <f>Table13[[#This Row],[v2cl_avg]]-Table13[[#This Row],[v2clsn_avg]]</f>
        <v>0.27272727272727337</v>
      </c>
      <c r="AD119" s="4">
        <f>MAX(Table13[[#This Row],[v2cltort_nr]:[v2clrgwkch_nr]])</f>
        <v>11</v>
      </c>
      <c r="AE119" s="4">
        <f>MAX(Table13[[#This Row],[v2clrgstch_nr]:[v2clrgwkch_nr]])</f>
        <v>11</v>
      </c>
    </row>
    <row r="120" spans="1:31" x14ac:dyDescent="0.35">
      <c r="A120" t="s">
        <v>4</v>
      </c>
      <c r="B120">
        <v>2018</v>
      </c>
      <c r="C120">
        <v>10</v>
      </c>
      <c r="D120">
        <v>10</v>
      </c>
      <c r="E120">
        <v>10</v>
      </c>
      <c r="F120">
        <v>10</v>
      </c>
      <c r="G120">
        <v>10</v>
      </c>
      <c r="H120">
        <v>10</v>
      </c>
      <c r="I120">
        <v>10</v>
      </c>
      <c r="J120">
        <v>10</v>
      </c>
      <c r="K120">
        <v>10</v>
      </c>
      <c r="L120">
        <v>10</v>
      </c>
      <c r="M120">
        <v>9</v>
      </c>
      <c r="N120">
        <v>9</v>
      </c>
      <c r="O120">
        <v>10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10</v>
      </c>
      <c r="V120">
        <v>9</v>
      </c>
      <c r="W120">
        <v>9</v>
      </c>
      <c r="X120">
        <v>9</v>
      </c>
      <c r="Y120" s="3">
        <v>9</v>
      </c>
      <c r="Z120" s="3">
        <v>10</v>
      </c>
      <c r="AA120">
        <f>AVERAGE(Table13[[#This Row],[v2cltort_nr]:[v2clprptyw_nr]])</f>
        <v>9.7727272727272734</v>
      </c>
      <c r="AB120">
        <f>AVERAGE(Table13[[#This Row],[v2clrgstch_nr]:[v2clrgwkch_nr]])</f>
        <v>9.5</v>
      </c>
      <c r="AC120">
        <f>Table13[[#This Row],[v2cl_avg]]-Table13[[#This Row],[v2clsn_avg]]</f>
        <v>0.27272727272727337</v>
      </c>
      <c r="AD120" s="4">
        <f>MAX(Table13[[#This Row],[v2cltort_nr]:[v2clrgwkch_nr]])</f>
        <v>10</v>
      </c>
      <c r="AE120" s="4">
        <f>MAX(Table13[[#This Row],[v2clrgstch_nr]:[v2clrgwkch_nr]])</f>
        <v>10</v>
      </c>
    </row>
    <row r="121" spans="1:31" x14ac:dyDescent="0.35">
      <c r="A121" t="s">
        <v>4</v>
      </c>
      <c r="B121">
        <v>2019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9</v>
      </c>
      <c r="K121">
        <v>9</v>
      </c>
      <c r="L121">
        <v>9</v>
      </c>
      <c r="M121">
        <v>8</v>
      </c>
      <c r="N121">
        <v>8</v>
      </c>
      <c r="O121">
        <v>9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8</v>
      </c>
      <c r="W121">
        <v>8</v>
      </c>
      <c r="X121">
        <v>8</v>
      </c>
      <c r="Y121" s="3">
        <v>8</v>
      </c>
      <c r="Z121" s="3">
        <v>9</v>
      </c>
      <c r="AA121">
        <f>AVERAGE(Table13[[#This Row],[v2cltort_nr]:[v2clprptyw_nr]])</f>
        <v>8.7727272727272734</v>
      </c>
      <c r="AB121">
        <f>AVERAGE(Table13[[#This Row],[v2clrgstch_nr]:[v2clrgwkch_nr]])</f>
        <v>8.5</v>
      </c>
      <c r="AC121">
        <f>Table13[[#This Row],[v2cl_avg]]-Table13[[#This Row],[v2clsn_avg]]</f>
        <v>0.27272727272727337</v>
      </c>
      <c r="AD121" s="4">
        <f>MAX(Table13[[#This Row],[v2cltort_nr]:[v2clrgwkch_nr]])</f>
        <v>9</v>
      </c>
      <c r="AE121" s="4">
        <f>MAX(Table13[[#This Row],[v2clrgstch_nr]:[v2clrgwkch_nr]])</f>
        <v>9</v>
      </c>
    </row>
    <row r="122" spans="1:31" x14ac:dyDescent="0.35">
      <c r="A122" t="s">
        <v>4</v>
      </c>
      <c r="B122">
        <v>2020</v>
      </c>
      <c r="C122">
        <v>8</v>
      </c>
      <c r="D122">
        <v>8</v>
      </c>
      <c r="E122">
        <v>8</v>
      </c>
      <c r="F122">
        <v>8</v>
      </c>
      <c r="G122">
        <v>8</v>
      </c>
      <c r="H122">
        <v>8</v>
      </c>
      <c r="I122">
        <v>8</v>
      </c>
      <c r="J122">
        <v>8</v>
      </c>
      <c r="K122">
        <v>8</v>
      </c>
      <c r="L122">
        <v>8</v>
      </c>
      <c r="M122">
        <v>7</v>
      </c>
      <c r="N122">
        <v>7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  <c r="U122">
        <v>8</v>
      </c>
      <c r="V122">
        <v>7</v>
      </c>
      <c r="W122">
        <v>7</v>
      </c>
      <c r="X122">
        <v>7</v>
      </c>
      <c r="Y122" s="3">
        <v>7</v>
      </c>
      <c r="Z122" s="3">
        <v>8</v>
      </c>
      <c r="AA122">
        <f>AVERAGE(Table13[[#This Row],[v2cltort_nr]:[v2clprptyw_nr]])</f>
        <v>7.7727272727272725</v>
      </c>
      <c r="AB122">
        <f>AVERAGE(Table13[[#This Row],[v2clrgstch_nr]:[v2clrgwkch_nr]])</f>
        <v>7.5</v>
      </c>
      <c r="AC122">
        <f>Table13[[#This Row],[v2cl_avg]]-Table13[[#This Row],[v2clsn_avg]]</f>
        <v>0.27272727272727249</v>
      </c>
      <c r="AD122" s="4">
        <f>MAX(Table13[[#This Row],[v2cltort_nr]:[v2clrgwkch_nr]])</f>
        <v>8</v>
      </c>
      <c r="AE122" s="4">
        <f>MAX(Table13[[#This Row],[v2clrgstch_nr]:[v2clrgwkch_nr]])</f>
        <v>8</v>
      </c>
    </row>
    <row r="123" spans="1:31" x14ac:dyDescent="0.35">
      <c r="A123" t="s">
        <v>4</v>
      </c>
      <c r="B123">
        <v>2021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6</v>
      </c>
      <c r="N123">
        <v>6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7</v>
      </c>
      <c r="U123">
        <v>7</v>
      </c>
      <c r="V123">
        <v>6</v>
      </c>
      <c r="W123">
        <v>6</v>
      </c>
      <c r="X123">
        <v>6</v>
      </c>
      <c r="Y123" s="3">
        <v>6</v>
      </c>
      <c r="Z123" s="3">
        <v>7</v>
      </c>
      <c r="AA123">
        <f>AVERAGE(Table13[[#This Row],[v2cltort_nr]:[v2clprptyw_nr]])</f>
        <v>6.7727272727272725</v>
      </c>
      <c r="AB123">
        <f>AVERAGE(Table13[[#This Row],[v2clrgstch_nr]:[v2clrgwkch_nr]])</f>
        <v>6.5</v>
      </c>
      <c r="AC123">
        <f>Table13[[#This Row],[v2cl_avg]]-Table13[[#This Row],[v2clsn_avg]]</f>
        <v>0.27272727272727249</v>
      </c>
      <c r="AD123" s="4">
        <f>MAX(Table13[[#This Row],[v2cltort_nr]:[v2clrgwkch_nr]])</f>
        <v>7</v>
      </c>
      <c r="AE123" s="4">
        <f>MAX(Table13[[#This Row],[v2clrgstch_nr]:[v2clrgwkch_nr]])</f>
        <v>7</v>
      </c>
    </row>
    <row r="124" spans="1:31" x14ac:dyDescent="0.35">
      <c r="A124" t="s">
        <v>4</v>
      </c>
      <c r="B124">
        <v>2022</v>
      </c>
      <c r="C124">
        <v>6</v>
      </c>
      <c r="D124">
        <v>6</v>
      </c>
      <c r="E124">
        <v>6</v>
      </c>
      <c r="F124">
        <v>6</v>
      </c>
      <c r="G124">
        <v>6</v>
      </c>
      <c r="H124">
        <v>6</v>
      </c>
      <c r="I124">
        <v>6</v>
      </c>
      <c r="J124">
        <v>6</v>
      </c>
      <c r="K124">
        <v>6</v>
      </c>
      <c r="L124">
        <v>6</v>
      </c>
      <c r="M124">
        <v>5</v>
      </c>
      <c r="N124">
        <v>5</v>
      </c>
      <c r="O124">
        <v>6</v>
      </c>
      <c r="P124">
        <v>6</v>
      </c>
      <c r="Q124">
        <v>6</v>
      </c>
      <c r="R124">
        <v>6</v>
      </c>
      <c r="S124">
        <v>6</v>
      </c>
      <c r="T124">
        <v>6</v>
      </c>
      <c r="U124">
        <v>6</v>
      </c>
      <c r="V124">
        <v>5</v>
      </c>
      <c r="W124">
        <v>5</v>
      </c>
      <c r="X124">
        <v>5</v>
      </c>
      <c r="Y124" s="3">
        <v>5</v>
      </c>
      <c r="Z124" s="3">
        <v>6</v>
      </c>
      <c r="AA124">
        <f>AVERAGE(Table13[[#This Row],[v2cltort_nr]:[v2clprptyw_nr]])</f>
        <v>5.7727272727272725</v>
      </c>
      <c r="AB124">
        <f>AVERAGE(Table13[[#This Row],[v2clrgstch_nr]:[v2clrgwkch_nr]])</f>
        <v>5.5</v>
      </c>
      <c r="AC124">
        <f>Table13[[#This Row],[v2cl_avg]]-Table13[[#This Row],[v2clsn_avg]]</f>
        <v>0.27272727272727249</v>
      </c>
      <c r="AD124" s="4">
        <f>MAX(Table13[[#This Row],[v2cltort_nr]:[v2clrgwkch_nr]])</f>
        <v>6</v>
      </c>
      <c r="AE124" s="4">
        <f>MAX(Table13[[#This Row],[v2clrgstch_nr]:[v2clrgwkch_nr]])</f>
        <v>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73CCF-FB33-4A77-A838-5F5380FA591C}">
  <dimension ref="A1:K124"/>
  <sheetViews>
    <sheetView workbookViewId="0">
      <selection activeCell="K3" sqref="K3"/>
    </sheetView>
  </sheetViews>
  <sheetFormatPr defaultRowHeight="14.5" x14ac:dyDescent="0.35"/>
  <cols>
    <col min="2" max="2" width="10.26953125" customWidth="1"/>
    <col min="3" max="3" width="12.1796875" customWidth="1"/>
    <col min="4" max="4" width="10.36328125" customWidth="1"/>
    <col min="5" max="5" width="10" customWidth="1"/>
    <col min="6" max="6" width="11.90625" customWidth="1"/>
    <col min="7" max="7" width="10.08984375" customWidth="1"/>
  </cols>
  <sheetData>
    <row r="1" spans="1:11" x14ac:dyDescent="0.35">
      <c r="A1" t="s">
        <v>58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61</v>
      </c>
      <c r="I1" t="s">
        <v>62</v>
      </c>
      <c r="J1" t="s">
        <v>63</v>
      </c>
      <c r="K1" t="s">
        <v>64</v>
      </c>
    </row>
    <row r="2" spans="1:11" x14ac:dyDescent="0.35">
      <c r="A2" s="1">
        <v>1900</v>
      </c>
      <c r="B2">
        <f>AVERAGE(Table1[[#This Row],[v2eldonate_nr]:[v2elffelrbin_nr]])</f>
        <v>5.5</v>
      </c>
      <c r="C2">
        <f>AVERAGE(Table1[[#This Row],[v2elsnlfc_nr]:[v2elsnmrfc_nr]])</f>
        <v>2.5</v>
      </c>
      <c r="D2">
        <f>Table1[[#This Row],[v2el_avg]]-Table1[[#This Row],[v2elsn_avg]]</f>
        <v>3</v>
      </c>
      <c r="E2">
        <f>AVERAGE(Table13[[#This Row],[v2cltort_nr]:[v2clprptyw_nr]])</f>
        <v>5.9545454545454541</v>
      </c>
      <c r="F2">
        <f>AVERAGE(Table13[[#This Row],[v2clrgstch_nr]:[v2clrgwkch_nr]])</f>
        <v>3</v>
      </c>
      <c r="G2">
        <f>Table13[[#This Row],[v2cl_avg]]-Table13[[#This Row],[v2clsn_avg]]</f>
        <v>2.9545454545454541</v>
      </c>
      <c r="H2" s="4">
        <f>MAX(Table1[[#This Row],[v2eldonate_nr]:[v2elsnmrfc_nr]])</f>
        <v>8</v>
      </c>
      <c r="I2" s="4">
        <f>MAX(Table13[[#This Row],[v2cltort_nr]:[v2clrgwkch_nr]])</f>
        <v>6</v>
      </c>
      <c r="J2" s="4">
        <f>MAX(Table13[[#This Row],[v2clrgstch_nr]:[v2clrgwkch_nr]])</f>
        <v>3</v>
      </c>
      <c r="K2" s="4">
        <f>MAX(Table1[[#This Row],[v2elsnlfc_nr]:[v2elsnmrfc_nr]])</f>
        <v>3</v>
      </c>
    </row>
    <row r="3" spans="1:11" x14ac:dyDescent="0.35">
      <c r="A3" s="2">
        <v>1901</v>
      </c>
      <c r="B3">
        <f>AVERAGE(Table1[[#This Row],[v2eldonate_nr]:[v2elffelrbin_nr]])</f>
        <v>5.5</v>
      </c>
      <c r="C3">
        <f>AVERAGE(Table1[[#This Row],[v2elsnlfc_nr]:[v2elsnmrfc_nr]])</f>
        <v>2.5</v>
      </c>
      <c r="D3">
        <f>Table1[[#This Row],[v2el_avg]]-Table1[[#This Row],[v2elsn_avg]]</f>
        <v>3</v>
      </c>
      <c r="E3">
        <f>AVERAGE(Table13[[#This Row],[v2cltort_nr]:[v2clprptyw_nr]])</f>
        <v>5.9545454545454541</v>
      </c>
      <c r="F3">
        <f>AVERAGE(Table13[[#This Row],[v2clrgstch_nr]:[v2clrgwkch_nr]])</f>
        <v>3</v>
      </c>
      <c r="G3">
        <f>Table13[[#This Row],[v2cl_avg]]-Table13[[#This Row],[v2clsn_avg]]</f>
        <v>2.9545454545454541</v>
      </c>
      <c r="H3" s="4">
        <f>MAX(Table1[[#This Row],[v2eldonate_nr]:[v2elsnmrfc_nr]])</f>
        <v>8</v>
      </c>
      <c r="I3" s="4">
        <f>MAX(Table13[[#This Row],[v2cltort_nr]:[v2clrgwkch_nr]])</f>
        <v>6</v>
      </c>
      <c r="J3" s="4">
        <f>MAX(Table13[[#This Row],[v2clrgstch_nr]:[v2clrgwkch_nr]])</f>
        <v>3</v>
      </c>
      <c r="K3" s="4">
        <f>MAX(Table1[[#This Row],[v2elsnlfc_nr]:[v2elsnmrfc_nr]])</f>
        <v>3</v>
      </c>
    </row>
    <row r="4" spans="1:11" x14ac:dyDescent="0.35">
      <c r="A4" s="1">
        <v>1902</v>
      </c>
      <c r="B4">
        <f>AVERAGE(Table1[[#This Row],[v2eldonate_nr]:[v2elffelrbin_nr]])</f>
        <v>5.5</v>
      </c>
      <c r="C4">
        <f>AVERAGE(Table1[[#This Row],[v2elsnlfc_nr]:[v2elsnmrfc_nr]])</f>
        <v>2.5</v>
      </c>
      <c r="D4">
        <f>Table1[[#This Row],[v2el_avg]]-Table1[[#This Row],[v2elsn_avg]]</f>
        <v>3</v>
      </c>
      <c r="E4">
        <f>AVERAGE(Table13[[#This Row],[v2cltort_nr]:[v2clprptyw_nr]])</f>
        <v>5.9545454545454541</v>
      </c>
      <c r="F4">
        <f>AVERAGE(Table13[[#This Row],[v2clrgstch_nr]:[v2clrgwkch_nr]])</f>
        <v>3</v>
      </c>
      <c r="G4">
        <f>Table13[[#This Row],[v2cl_avg]]-Table13[[#This Row],[v2clsn_avg]]</f>
        <v>2.9545454545454541</v>
      </c>
      <c r="H4" s="4">
        <f>MAX(Table1[[#This Row],[v2eldonate_nr]:[v2elsnmrfc_nr]])</f>
        <v>8</v>
      </c>
      <c r="I4" s="4">
        <f>MAX(Table13[[#This Row],[v2cltort_nr]:[v2clrgwkch_nr]])</f>
        <v>6</v>
      </c>
      <c r="J4" s="4">
        <f>MAX(Table13[[#This Row],[v2clrgstch_nr]:[v2clrgwkch_nr]])</f>
        <v>3</v>
      </c>
      <c r="K4" s="4">
        <f>MAX(Table1[[#This Row],[v2elsnlfc_nr]:[v2elsnmrfc_nr]])</f>
        <v>3</v>
      </c>
    </row>
    <row r="5" spans="1:11" x14ac:dyDescent="0.35">
      <c r="A5" s="2">
        <v>1903</v>
      </c>
      <c r="B5">
        <f>AVERAGE(Table1[[#This Row],[v2eldonate_nr]:[v2elffelrbin_nr]])</f>
        <v>5.5</v>
      </c>
      <c r="C5">
        <f>AVERAGE(Table1[[#This Row],[v2elsnlfc_nr]:[v2elsnmrfc_nr]])</f>
        <v>2.5</v>
      </c>
      <c r="D5">
        <f>Table1[[#This Row],[v2el_avg]]-Table1[[#This Row],[v2elsn_avg]]</f>
        <v>3</v>
      </c>
      <c r="E5">
        <f>AVERAGE(Table13[[#This Row],[v2cltort_nr]:[v2clprptyw_nr]])</f>
        <v>5.9545454545454541</v>
      </c>
      <c r="F5">
        <f>AVERAGE(Table13[[#This Row],[v2clrgstch_nr]:[v2clrgwkch_nr]])</f>
        <v>3</v>
      </c>
      <c r="G5">
        <f>Table13[[#This Row],[v2cl_avg]]-Table13[[#This Row],[v2clsn_avg]]</f>
        <v>2.9545454545454541</v>
      </c>
      <c r="H5" s="4">
        <f>MAX(Table1[[#This Row],[v2eldonate_nr]:[v2elsnmrfc_nr]])</f>
        <v>8</v>
      </c>
      <c r="I5" s="4">
        <f>MAX(Table13[[#This Row],[v2cltort_nr]:[v2clrgwkch_nr]])</f>
        <v>6</v>
      </c>
      <c r="J5" s="4">
        <f>MAX(Table13[[#This Row],[v2clrgstch_nr]:[v2clrgwkch_nr]])</f>
        <v>3</v>
      </c>
      <c r="K5" s="4">
        <f>MAX(Table1[[#This Row],[v2elsnlfc_nr]:[v2elsnmrfc_nr]])</f>
        <v>3</v>
      </c>
    </row>
    <row r="6" spans="1:11" x14ac:dyDescent="0.35">
      <c r="A6" s="1">
        <v>1904</v>
      </c>
      <c r="B6">
        <f>AVERAGE(Table1[[#This Row],[v2eldonate_nr]:[v2elffelrbin_nr]])</f>
        <v>5.5</v>
      </c>
      <c r="C6">
        <f>AVERAGE(Table1[[#This Row],[v2elsnlfc_nr]:[v2elsnmrfc_nr]])</f>
        <v>2.5</v>
      </c>
      <c r="D6">
        <f>Table1[[#This Row],[v2el_avg]]-Table1[[#This Row],[v2elsn_avg]]</f>
        <v>3</v>
      </c>
      <c r="E6">
        <f>AVERAGE(Table13[[#This Row],[v2cltort_nr]:[v2clprptyw_nr]])</f>
        <v>5.9545454545454541</v>
      </c>
      <c r="F6">
        <f>AVERAGE(Table13[[#This Row],[v2clrgstch_nr]:[v2clrgwkch_nr]])</f>
        <v>3</v>
      </c>
      <c r="G6">
        <f>Table13[[#This Row],[v2cl_avg]]-Table13[[#This Row],[v2clsn_avg]]</f>
        <v>2.9545454545454541</v>
      </c>
      <c r="H6" s="4">
        <f>MAX(Table1[[#This Row],[v2eldonate_nr]:[v2elsnmrfc_nr]])</f>
        <v>8</v>
      </c>
      <c r="I6" s="4">
        <f>MAX(Table13[[#This Row],[v2cltort_nr]:[v2clrgwkch_nr]])</f>
        <v>6</v>
      </c>
      <c r="J6" s="4">
        <f>MAX(Table13[[#This Row],[v2clrgstch_nr]:[v2clrgwkch_nr]])</f>
        <v>3</v>
      </c>
      <c r="K6" s="4">
        <f>MAX(Table1[[#This Row],[v2elsnlfc_nr]:[v2elsnmrfc_nr]])</f>
        <v>3</v>
      </c>
    </row>
    <row r="7" spans="1:11" x14ac:dyDescent="0.35">
      <c r="A7" s="2">
        <v>1905</v>
      </c>
      <c r="B7">
        <f>AVERAGE(Table1[[#This Row],[v2eldonate_nr]:[v2elffelrbin_nr]])</f>
        <v>5.5</v>
      </c>
      <c r="C7">
        <f>AVERAGE(Table1[[#This Row],[v2elsnlfc_nr]:[v2elsnmrfc_nr]])</f>
        <v>2.5</v>
      </c>
      <c r="D7">
        <f>Table1[[#This Row],[v2el_avg]]-Table1[[#This Row],[v2elsn_avg]]</f>
        <v>3</v>
      </c>
      <c r="E7">
        <f>AVERAGE(Table13[[#This Row],[v2cltort_nr]:[v2clprptyw_nr]])</f>
        <v>5.9545454545454541</v>
      </c>
      <c r="F7">
        <f>AVERAGE(Table13[[#This Row],[v2clrgstch_nr]:[v2clrgwkch_nr]])</f>
        <v>3</v>
      </c>
      <c r="G7">
        <f>Table13[[#This Row],[v2cl_avg]]-Table13[[#This Row],[v2clsn_avg]]</f>
        <v>2.9545454545454541</v>
      </c>
      <c r="H7" s="4">
        <f>MAX(Table1[[#This Row],[v2eldonate_nr]:[v2elsnmrfc_nr]])</f>
        <v>8</v>
      </c>
      <c r="I7" s="4">
        <f>MAX(Table13[[#This Row],[v2cltort_nr]:[v2clrgwkch_nr]])</f>
        <v>6</v>
      </c>
      <c r="J7" s="4">
        <f>MAX(Table13[[#This Row],[v2clrgstch_nr]:[v2clrgwkch_nr]])</f>
        <v>3</v>
      </c>
      <c r="K7" s="4">
        <f>MAX(Table1[[#This Row],[v2elsnlfc_nr]:[v2elsnmrfc_nr]])</f>
        <v>3</v>
      </c>
    </row>
    <row r="8" spans="1:11" x14ac:dyDescent="0.35">
      <c r="A8" s="1">
        <v>1906</v>
      </c>
      <c r="B8">
        <f>AVERAGE(Table1[[#This Row],[v2eldonate_nr]:[v2elffelrbin_nr]])</f>
        <v>5.5</v>
      </c>
      <c r="C8">
        <f>AVERAGE(Table1[[#This Row],[v2elsnlfc_nr]:[v2elsnmrfc_nr]])</f>
        <v>2.5</v>
      </c>
      <c r="D8">
        <f>Table1[[#This Row],[v2el_avg]]-Table1[[#This Row],[v2elsn_avg]]</f>
        <v>3</v>
      </c>
      <c r="E8">
        <f>AVERAGE(Table13[[#This Row],[v2cltort_nr]:[v2clprptyw_nr]])</f>
        <v>5.9545454545454541</v>
      </c>
      <c r="F8">
        <f>AVERAGE(Table13[[#This Row],[v2clrgstch_nr]:[v2clrgwkch_nr]])</f>
        <v>3</v>
      </c>
      <c r="G8">
        <f>Table13[[#This Row],[v2cl_avg]]-Table13[[#This Row],[v2clsn_avg]]</f>
        <v>2.9545454545454541</v>
      </c>
      <c r="H8" s="4">
        <f>MAX(Table1[[#This Row],[v2eldonate_nr]:[v2elsnmrfc_nr]])</f>
        <v>8</v>
      </c>
      <c r="I8" s="4">
        <f>MAX(Table13[[#This Row],[v2cltort_nr]:[v2clrgwkch_nr]])</f>
        <v>6</v>
      </c>
      <c r="J8" s="4">
        <f>MAX(Table13[[#This Row],[v2clrgstch_nr]:[v2clrgwkch_nr]])</f>
        <v>3</v>
      </c>
      <c r="K8" s="4">
        <f>MAX(Table1[[#This Row],[v2elsnlfc_nr]:[v2elsnmrfc_nr]])</f>
        <v>3</v>
      </c>
    </row>
    <row r="9" spans="1:11" x14ac:dyDescent="0.35">
      <c r="A9" s="2">
        <v>1907</v>
      </c>
      <c r="B9">
        <f>AVERAGE(Table1[[#This Row],[v2eldonate_nr]:[v2elffelrbin_nr]])</f>
        <v>5.5</v>
      </c>
      <c r="C9">
        <f>AVERAGE(Table1[[#This Row],[v2elsnlfc_nr]:[v2elsnmrfc_nr]])</f>
        <v>2.5</v>
      </c>
      <c r="D9">
        <f>Table1[[#This Row],[v2el_avg]]-Table1[[#This Row],[v2elsn_avg]]</f>
        <v>3</v>
      </c>
      <c r="E9">
        <f>AVERAGE(Table13[[#This Row],[v2cltort_nr]:[v2clprptyw_nr]])</f>
        <v>5.9545454545454541</v>
      </c>
      <c r="F9">
        <f>AVERAGE(Table13[[#This Row],[v2clrgstch_nr]:[v2clrgwkch_nr]])</f>
        <v>3</v>
      </c>
      <c r="G9">
        <f>Table13[[#This Row],[v2cl_avg]]-Table13[[#This Row],[v2clsn_avg]]</f>
        <v>2.9545454545454541</v>
      </c>
      <c r="H9" s="4">
        <f>MAX(Table1[[#This Row],[v2eldonate_nr]:[v2elsnmrfc_nr]])</f>
        <v>8</v>
      </c>
      <c r="I9" s="4">
        <f>MAX(Table13[[#This Row],[v2cltort_nr]:[v2clrgwkch_nr]])</f>
        <v>6</v>
      </c>
      <c r="J9" s="4">
        <f>MAX(Table13[[#This Row],[v2clrgstch_nr]:[v2clrgwkch_nr]])</f>
        <v>3</v>
      </c>
      <c r="K9" s="4">
        <f>MAX(Table1[[#This Row],[v2elsnlfc_nr]:[v2elsnmrfc_nr]])</f>
        <v>3</v>
      </c>
    </row>
    <row r="10" spans="1:11" x14ac:dyDescent="0.35">
      <c r="A10" s="1">
        <v>1908</v>
      </c>
      <c r="B10">
        <f>AVERAGE(Table1[[#This Row],[v2eldonate_nr]:[v2elffelrbin_nr]])</f>
        <v>5.5</v>
      </c>
      <c r="C10">
        <f>AVERAGE(Table1[[#This Row],[v2elsnlfc_nr]:[v2elsnmrfc_nr]])</f>
        <v>2.5</v>
      </c>
      <c r="D10">
        <f>Table1[[#This Row],[v2el_avg]]-Table1[[#This Row],[v2elsn_avg]]</f>
        <v>3</v>
      </c>
      <c r="E10">
        <f>AVERAGE(Table13[[#This Row],[v2cltort_nr]:[v2clprptyw_nr]])</f>
        <v>5.9545454545454541</v>
      </c>
      <c r="F10">
        <f>AVERAGE(Table13[[#This Row],[v2clrgstch_nr]:[v2clrgwkch_nr]])</f>
        <v>3</v>
      </c>
      <c r="G10">
        <f>Table13[[#This Row],[v2cl_avg]]-Table13[[#This Row],[v2clsn_avg]]</f>
        <v>2.9545454545454541</v>
      </c>
      <c r="H10" s="4">
        <f>MAX(Table1[[#This Row],[v2eldonate_nr]:[v2elsnmrfc_nr]])</f>
        <v>8</v>
      </c>
      <c r="I10" s="4">
        <f>MAX(Table13[[#This Row],[v2cltort_nr]:[v2clrgwkch_nr]])</f>
        <v>6</v>
      </c>
      <c r="J10" s="4">
        <f>MAX(Table13[[#This Row],[v2clrgstch_nr]:[v2clrgwkch_nr]])</f>
        <v>3</v>
      </c>
      <c r="K10" s="4">
        <f>MAX(Table1[[#This Row],[v2elsnlfc_nr]:[v2elsnmrfc_nr]])</f>
        <v>3</v>
      </c>
    </row>
    <row r="11" spans="1:11" x14ac:dyDescent="0.35">
      <c r="A11" s="2">
        <v>1909</v>
      </c>
      <c r="B11">
        <f>AVERAGE(Table1[[#This Row],[v2eldonate_nr]:[v2elffelrbin_nr]])</f>
        <v>5.5</v>
      </c>
      <c r="C11">
        <f>AVERAGE(Table1[[#This Row],[v2elsnlfc_nr]:[v2elsnmrfc_nr]])</f>
        <v>2.5</v>
      </c>
      <c r="D11">
        <f>Table1[[#This Row],[v2el_avg]]-Table1[[#This Row],[v2elsn_avg]]</f>
        <v>3</v>
      </c>
      <c r="E11">
        <f>AVERAGE(Table13[[#This Row],[v2cltort_nr]:[v2clprptyw_nr]])</f>
        <v>5.9545454545454541</v>
      </c>
      <c r="F11">
        <f>AVERAGE(Table13[[#This Row],[v2clrgstch_nr]:[v2clrgwkch_nr]])</f>
        <v>3</v>
      </c>
      <c r="G11">
        <f>Table13[[#This Row],[v2cl_avg]]-Table13[[#This Row],[v2clsn_avg]]</f>
        <v>2.9545454545454541</v>
      </c>
      <c r="H11" s="4">
        <f>MAX(Table1[[#This Row],[v2eldonate_nr]:[v2elsnmrfc_nr]])</f>
        <v>8</v>
      </c>
      <c r="I11" s="4">
        <f>MAX(Table13[[#This Row],[v2cltort_nr]:[v2clrgwkch_nr]])</f>
        <v>6</v>
      </c>
      <c r="J11" s="4">
        <f>MAX(Table13[[#This Row],[v2clrgstch_nr]:[v2clrgwkch_nr]])</f>
        <v>3</v>
      </c>
      <c r="K11" s="4">
        <f>MAX(Table1[[#This Row],[v2elsnlfc_nr]:[v2elsnmrfc_nr]])</f>
        <v>3</v>
      </c>
    </row>
    <row r="12" spans="1:11" x14ac:dyDescent="0.35">
      <c r="A12" s="1">
        <v>1910</v>
      </c>
      <c r="B12">
        <f>AVERAGE(Table1[[#This Row],[v2eldonate_nr]:[v2elffelrbin_nr]])</f>
        <v>3.8095238095238093</v>
      </c>
      <c r="C12">
        <f>AVERAGE(Table1[[#This Row],[v2elsnlfc_nr]:[v2elsnmrfc_nr]])</f>
        <v>2.5</v>
      </c>
      <c r="D12">
        <f>Table1[[#This Row],[v2el_avg]]-Table1[[#This Row],[v2elsn_avg]]</f>
        <v>1.3095238095238093</v>
      </c>
      <c r="E12">
        <f>AVERAGE(Table13[[#This Row],[v2cltort_nr]:[v2clprptyw_nr]])</f>
        <v>5.9545454545454541</v>
      </c>
      <c r="F12">
        <f>AVERAGE(Table13[[#This Row],[v2clrgstch_nr]:[v2clrgwkch_nr]])</f>
        <v>3</v>
      </c>
      <c r="G12">
        <f>Table13[[#This Row],[v2cl_avg]]-Table13[[#This Row],[v2clsn_avg]]</f>
        <v>2.9545454545454541</v>
      </c>
      <c r="H12" s="4">
        <f>MAX(Table1[[#This Row],[v2eldonate_nr]:[v2elsnmrfc_nr]])</f>
        <v>8</v>
      </c>
      <c r="I12" s="4">
        <f>MAX(Table13[[#This Row],[v2cltort_nr]:[v2clrgwkch_nr]])</f>
        <v>6</v>
      </c>
      <c r="J12" s="4">
        <f>MAX(Table13[[#This Row],[v2clrgstch_nr]:[v2clrgwkch_nr]])</f>
        <v>3</v>
      </c>
      <c r="K12" s="4">
        <f>MAX(Table1[[#This Row],[v2elsnlfc_nr]:[v2elsnmrfc_nr]])</f>
        <v>3</v>
      </c>
    </row>
    <row r="13" spans="1:11" x14ac:dyDescent="0.35">
      <c r="A13" s="2">
        <v>1911</v>
      </c>
      <c r="B13">
        <f>AVERAGE(Table1[[#This Row],[v2eldonate_nr]:[v2elffelrbin_nr]])</f>
        <v>5.5</v>
      </c>
      <c r="C13">
        <f>AVERAGE(Table1[[#This Row],[v2elsnlfc_nr]:[v2elsnmrfc_nr]])</f>
        <v>2.5</v>
      </c>
      <c r="D13">
        <f>Table1[[#This Row],[v2el_avg]]-Table1[[#This Row],[v2elsn_avg]]</f>
        <v>3</v>
      </c>
      <c r="E13">
        <f>AVERAGE(Table13[[#This Row],[v2cltort_nr]:[v2clprptyw_nr]])</f>
        <v>5.9545454545454541</v>
      </c>
      <c r="F13">
        <f>AVERAGE(Table13[[#This Row],[v2clrgstch_nr]:[v2clrgwkch_nr]])</f>
        <v>3</v>
      </c>
      <c r="G13">
        <f>Table13[[#This Row],[v2cl_avg]]-Table13[[#This Row],[v2clsn_avg]]</f>
        <v>2.9545454545454541</v>
      </c>
      <c r="H13" s="4">
        <f>MAX(Table1[[#This Row],[v2eldonate_nr]:[v2elsnmrfc_nr]])</f>
        <v>8</v>
      </c>
      <c r="I13" s="4">
        <f>MAX(Table13[[#This Row],[v2cltort_nr]:[v2clrgwkch_nr]])</f>
        <v>6</v>
      </c>
      <c r="J13" s="4">
        <f>MAX(Table13[[#This Row],[v2clrgstch_nr]:[v2clrgwkch_nr]])</f>
        <v>3</v>
      </c>
      <c r="K13" s="4">
        <f>MAX(Table1[[#This Row],[v2elsnlfc_nr]:[v2elsnmrfc_nr]])</f>
        <v>3</v>
      </c>
    </row>
    <row r="14" spans="1:11" x14ac:dyDescent="0.35">
      <c r="A14" s="1">
        <v>1912</v>
      </c>
      <c r="B14">
        <f>AVERAGE(Table1[[#This Row],[v2eldonate_nr]:[v2elffelrbin_nr]])</f>
        <v>5.5</v>
      </c>
      <c r="C14">
        <f>AVERAGE(Table1[[#This Row],[v2elsnlfc_nr]:[v2elsnmrfc_nr]])</f>
        <v>2.5</v>
      </c>
      <c r="D14">
        <f>Table1[[#This Row],[v2el_avg]]-Table1[[#This Row],[v2elsn_avg]]</f>
        <v>3</v>
      </c>
      <c r="E14">
        <f>AVERAGE(Table13[[#This Row],[v2cltort_nr]:[v2clprptyw_nr]])</f>
        <v>5.9545454545454541</v>
      </c>
      <c r="F14">
        <f>AVERAGE(Table13[[#This Row],[v2clrgstch_nr]:[v2clrgwkch_nr]])</f>
        <v>3</v>
      </c>
      <c r="G14">
        <f>Table13[[#This Row],[v2cl_avg]]-Table13[[#This Row],[v2clsn_avg]]</f>
        <v>2.9545454545454541</v>
      </c>
      <c r="H14" s="4">
        <f>MAX(Table1[[#This Row],[v2eldonate_nr]:[v2elsnmrfc_nr]])</f>
        <v>8</v>
      </c>
      <c r="I14" s="4">
        <f>MAX(Table13[[#This Row],[v2cltort_nr]:[v2clrgwkch_nr]])</f>
        <v>6</v>
      </c>
      <c r="J14" s="4">
        <f>MAX(Table13[[#This Row],[v2clrgstch_nr]:[v2clrgwkch_nr]])</f>
        <v>3</v>
      </c>
      <c r="K14" s="4">
        <f>MAX(Table1[[#This Row],[v2elsnlfc_nr]:[v2elsnmrfc_nr]])</f>
        <v>3</v>
      </c>
    </row>
    <row r="15" spans="1:11" x14ac:dyDescent="0.35">
      <c r="A15" s="2">
        <v>1913</v>
      </c>
      <c r="B15">
        <f>AVERAGE(Table1[[#This Row],[v2eldonate_nr]:[v2elffelrbin_nr]])</f>
        <v>5.5</v>
      </c>
      <c r="C15">
        <f>AVERAGE(Table1[[#This Row],[v2elsnlfc_nr]:[v2elsnmrfc_nr]])</f>
        <v>2.5</v>
      </c>
      <c r="D15">
        <f>Table1[[#This Row],[v2el_avg]]-Table1[[#This Row],[v2elsn_avg]]</f>
        <v>3</v>
      </c>
      <c r="E15">
        <f>AVERAGE(Table13[[#This Row],[v2cltort_nr]:[v2clprptyw_nr]])</f>
        <v>5.9545454545454541</v>
      </c>
      <c r="F15">
        <f>AVERAGE(Table13[[#This Row],[v2clrgstch_nr]:[v2clrgwkch_nr]])</f>
        <v>3</v>
      </c>
      <c r="G15">
        <f>Table13[[#This Row],[v2cl_avg]]-Table13[[#This Row],[v2clsn_avg]]</f>
        <v>2.9545454545454541</v>
      </c>
      <c r="H15" s="4">
        <f>MAX(Table1[[#This Row],[v2eldonate_nr]:[v2elsnmrfc_nr]])</f>
        <v>8</v>
      </c>
      <c r="I15" s="4">
        <f>MAX(Table13[[#This Row],[v2cltort_nr]:[v2clrgwkch_nr]])</f>
        <v>6</v>
      </c>
      <c r="J15" s="4">
        <f>MAX(Table13[[#This Row],[v2clrgstch_nr]:[v2clrgwkch_nr]])</f>
        <v>3</v>
      </c>
      <c r="K15" s="4">
        <f>MAX(Table1[[#This Row],[v2elsnlfc_nr]:[v2elsnmrfc_nr]])</f>
        <v>3</v>
      </c>
    </row>
    <row r="16" spans="1:11" x14ac:dyDescent="0.35">
      <c r="A16" s="1">
        <v>1914</v>
      </c>
      <c r="B16">
        <f>AVERAGE(Table1[[#This Row],[v2eldonate_nr]:[v2elffelrbin_nr]])</f>
        <v>6.8571428571428568</v>
      </c>
      <c r="C16">
        <f>AVERAGE(Table1[[#This Row],[v2elsnlfc_nr]:[v2elsnmrfc_nr]])</f>
        <v>2.5</v>
      </c>
      <c r="D16">
        <f>Table1[[#This Row],[v2el_avg]]-Table1[[#This Row],[v2elsn_avg]]</f>
        <v>4.3571428571428568</v>
      </c>
      <c r="E16">
        <f>AVERAGE(Table13[[#This Row],[v2cltort_nr]:[v2clprptyw_nr]])</f>
        <v>5.9545454545454541</v>
      </c>
      <c r="F16">
        <f>AVERAGE(Table13[[#This Row],[v2clrgstch_nr]:[v2clrgwkch_nr]])</f>
        <v>3</v>
      </c>
      <c r="G16">
        <f>Table13[[#This Row],[v2cl_avg]]-Table13[[#This Row],[v2clsn_avg]]</f>
        <v>2.9545454545454541</v>
      </c>
      <c r="H16" s="4">
        <f>MAX(Table1[[#This Row],[v2eldonate_nr]:[v2elsnmrfc_nr]])</f>
        <v>8</v>
      </c>
      <c r="I16" s="4">
        <f>MAX(Table13[[#This Row],[v2cltort_nr]:[v2clrgwkch_nr]])</f>
        <v>6</v>
      </c>
      <c r="J16" s="4">
        <f>MAX(Table13[[#This Row],[v2clrgstch_nr]:[v2clrgwkch_nr]])</f>
        <v>3</v>
      </c>
      <c r="K16" s="4">
        <f>MAX(Table1[[#This Row],[v2elsnlfc_nr]:[v2elsnmrfc_nr]])</f>
        <v>3</v>
      </c>
    </row>
    <row r="17" spans="1:11" x14ac:dyDescent="0.35">
      <c r="A17" s="2">
        <v>1915</v>
      </c>
      <c r="B17">
        <f>AVERAGE(Table1[[#This Row],[v2eldonate_nr]:[v2elffelrbin_nr]])</f>
        <v>5.5</v>
      </c>
      <c r="C17">
        <f>AVERAGE(Table1[[#This Row],[v2elsnlfc_nr]:[v2elsnmrfc_nr]])</f>
        <v>2.5</v>
      </c>
      <c r="D17">
        <f>Table1[[#This Row],[v2el_avg]]-Table1[[#This Row],[v2elsn_avg]]</f>
        <v>3</v>
      </c>
      <c r="E17">
        <f>AVERAGE(Table13[[#This Row],[v2cltort_nr]:[v2clprptyw_nr]])</f>
        <v>5.9545454545454541</v>
      </c>
      <c r="F17">
        <f>AVERAGE(Table13[[#This Row],[v2clrgstch_nr]:[v2clrgwkch_nr]])</f>
        <v>3</v>
      </c>
      <c r="G17">
        <f>Table13[[#This Row],[v2cl_avg]]-Table13[[#This Row],[v2clsn_avg]]</f>
        <v>2.9545454545454541</v>
      </c>
      <c r="H17" s="4">
        <f>MAX(Table1[[#This Row],[v2eldonate_nr]:[v2elsnmrfc_nr]])</f>
        <v>8</v>
      </c>
      <c r="I17" s="4">
        <f>MAX(Table13[[#This Row],[v2cltort_nr]:[v2clrgwkch_nr]])</f>
        <v>6</v>
      </c>
      <c r="J17" s="4">
        <f>MAX(Table13[[#This Row],[v2clrgstch_nr]:[v2clrgwkch_nr]])</f>
        <v>3</v>
      </c>
      <c r="K17" s="4">
        <f>MAX(Table1[[#This Row],[v2elsnlfc_nr]:[v2elsnmrfc_nr]])</f>
        <v>3</v>
      </c>
    </row>
    <row r="18" spans="1:11" x14ac:dyDescent="0.35">
      <c r="A18" s="1">
        <v>1916</v>
      </c>
      <c r="B18">
        <f>AVERAGE(Table1[[#This Row],[v2eldonate_nr]:[v2elffelrbin_nr]])</f>
        <v>5.5</v>
      </c>
      <c r="C18">
        <f>AVERAGE(Table1[[#This Row],[v2elsnlfc_nr]:[v2elsnmrfc_nr]])</f>
        <v>2.5</v>
      </c>
      <c r="D18">
        <f>Table1[[#This Row],[v2el_avg]]-Table1[[#This Row],[v2elsn_avg]]</f>
        <v>3</v>
      </c>
      <c r="E18">
        <f>AVERAGE(Table13[[#This Row],[v2cltort_nr]:[v2clprptyw_nr]])</f>
        <v>5.9545454545454541</v>
      </c>
      <c r="F18">
        <f>AVERAGE(Table13[[#This Row],[v2clrgstch_nr]:[v2clrgwkch_nr]])</f>
        <v>3</v>
      </c>
      <c r="G18">
        <f>Table13[[#This Row],[v2cl_avg]]-Table13[[#This Row],[v2clsn_avg]]</f>
        <v>2.9545454545454541</v>
      </c>
      <c r="H18" s="4">
        <f>MAX(Table1[[#This Row],[v2eldonate_nr]:[v2elsnmrfc_nr]])</f>
        <v>8</v>
      </c>
      <c r="I18" s="4">
        <f>MAX(Table13[[#This Row],[v2cltort_nr]:[v2clrgwkch_nr]])</f>
        <v>6</v>
      </c>
      <c r="J18" s="4">
        <f>MAX(Table13[[#This Row],[v2clrgstch_nr]:[v2clrgwkch_nr]])</f>
        <v>3</v>
      </c>
      <c r="K18" s="4">
        <f>MAX(Table1[[#This Row],[v2elsnlfc_nr]:[v2elsnmrfc_nr]])</f>
        <v>3</v>
      </c>
    </row>
    <row r="19" spans="1:11" x14ac:dyDescent="0.35">
      <c r="A19" s="2">
        <v>1917</v>
      </c>
      <c r="B19">
        <f>AVERAGE(Table1[[#This Row],[v2eldonate_nr]:[v2elffelrbin_nr]])</f>
        <v>5.5</v>
      </c>
      <c r="C19">
        <f>AVERAGE(Table1[[#This Row],[v2elsnlfc_nr]:[v2elsnmrfc_nr]])</f>
        <v>2.5</v>
      </c>
      <c r="D19">
        <f>Table1[[#This Row],[v2el_avg]]-Table1[[#This Row],[v2elsn_avg]]</f>
        <v>3</v>
      </c>
      <c r="E19">
        <f>AVERAGE(Table13[[#This Row],[v2cltort_nr]:[v2clprptyw_nr]])</f>
        <v>5.9545454545454541</v>
      </c>
      <c r="F19">
        <f>AVERAGE(Table13[[#This Row],[v2clrgstch_nr]:[v2clrgwkch_nr]])</f>
        <v>3</v>
      </c>
      <c r="G19">
        <f>Table13[[#This Row],[v2cl_avg]]-Table13[[#This Row],[v2clsn_avg]]</f>
        <v>2.9545454545454541</v>
      </c>
      <c r="H19" s="4">
        <f>MAX(Table1[[#This Row],[v2eldonate_nr]:[v2elsnmrfc_nr]])</f>
        <v>8</v>
      </c>
      <c r="I19" s="4">
        <f>MAX(Table13[[#This Row],[v2cltort_nr]:[v2clrgwkch_nr]])</f>
        <v>6</v>
      </c>
      <c r="J19" s="4">
        <f>MAX(Table13[[#This Row],[v2clrgstch_nr]:[v2clrgwkch_nr]])</f>
        <v>3</v>
      </c>
      <c r="K19" s="4">
        <f>MAX(Table1[[#This Row],[v2elsnlfc_nr]:[v2elsnmrfc_nr]])</f>
        <v>3</v>
      </c>
    </row>
    <row r="20" spans="1:11" x14ac:dyDescent="0.35">
      <c r="A20" s="1">
        <v>1918</v>
      </c>
      <c r="B20">
        <f>AVERAGE(Table1[[#This Row],[v2eldonate_nr]:[v2elffelrbin_nr]])</f>
        <v>6.7142857142857144</v>
      </c>
      <c r="C20">
        <f>AVERAGE(Table1[[#This Row],[v2elsnlfc_nr]:[v2elsnmrfc_nr]])</f>
        <v>2.5</v>
      </c>
      <c r="D20">
        <f>Table1[[#This Row],[v2el_avg]]-Table1[[#This Row],[v2elsn_avg]]</f>
        <v>4.2142857142857144</v>
      </c>
      <c r="E20">
        <f>AVERAGE(Table13[[#This Row],[v2cltort_nr]:[v2clprptyw_nr]])</f>
        <v>5.9545454545454541</v>
      </c>
      <c r="F20">
        <f>AVERAGE(Table13[[#This Row],[v2clrgstch_nr]:[v2clrgwkch_nr]])</f>
        <v>3</v>
      </c>
      <c r="G20">
        <f>Table13[[#This Row],[v2cl_avg]]-Table13[[#This Row],[v2clsn_avg]]</f>
        <v>2.9545454545454541</v>
      </c>
      <c r="H20" s="4">
        <f>MAX(Table1[[#This Row],[v2eldonate_nr]:[v2elsnmrfc_nr]])</f>
        <v>8</v>
      </c>
      <c r="I20" s="4">
        <f>MAX(Table13[[#This Row],[v2cltort_nr]:[v2clrgwkch_nr]])</f>
        <v>6</v>
      </c>
      <c r="J20" s="4">
        <f>MAX(Table13[[#This Row],[v2clrgstch_nr]:[v2clrgwkch_nr]])</f>
        <v>3</v>
      </c>
      <c r="K20" s="4">
        <f>MAX(Table1[[#This Row],[v2elsnlfc_nr]:[v2elsnmrfc_nr]])</f>
        <v>3</v>
      </c>
    </row>
    <row r="21" spans="1:11" x14ac:dyDescent="0.35">
      <c r="A21" s="2">
        <v>1919</v>
      </c>
      <c r="B21">
        <f>AVERAGE(Table1[[#This Row],[v2eldonate_nr]:[v2elffelrbin_nr]])</f>
        <v>5.5</v>
      </c>
      <c r="C21">
        <f>AVERAGE(Table1[[#This Row],[v2elsnlfc_nr]:[v2elsnmrfc_nr]])</f>
        <v>2.5</v>
      </c>
      <c r="D21">
        <f>Table1[[#This Row],[v2el_avg]]-Table1[[#This Row],[v2elsn_avg]]</f>
        <v>3</v>
      </c>
      <c r="E21">
        <f>AVERAGE(Table13[[#This Row],[v2cltort_nr]:[v2clprptyw_nr]])</f>
        <v>5.9545454545454541</v>
      </c>
      <c r="F21">
        <f>AVERAGE(Table13[[#This Row],[v2clrgstch_nr]:[v2clrgwkch_nr]])</f>
        <v>3</v>
      </c>
      <c r="G21">
        <f>Table13[[#This Row],[v2cl_avg]]-Table13[[#This Row],[v2clsn_avg]]</f>
        <v>2.9545454545454541</v>
      </c>
      <c r="H21" s="4">
        <f>MAX(Table1[[#This Row],[v2eldonate_nr]:[v2elsnmrfc_nr]])</f>
        <v>8</v>
      </c>
      <c r="I21" s="4">
        <f>MAX(Table13[[#This Row],[v2cltort_nr]:[v2clrgwkch_nr]])</f>
        <v>6</v>
      </c>
      <c r="J21" s="4">
        <f>MAX(Table13[[#This Row],[v2clrgstch_nr]:[v2clrgwkch_nr]])</f>
        <v>3</v>
      </c>
      <c r="K21" s="4">
        <f>MAX(Table1[[#This Row],[v2elsnlfc_nr]:[v2elsnmrfc_nr]])</f>
        <v>3</v>
      </c>
    </row>
    <row r="22" spans="1:11" x14ac:dyDescent="0.35">
      <c r="A22" s="1">
        <v>1920</v>
      </c>
      <c r="B22">
        <f>AVERAGE(Table1[[#This Row],[v2eldonate_nr]:[v2elffelrbin_nr]])</f>
        <v>5.5</v>
      </c>
      <c r="C22">
        <f>AVERAGE(Table1[[#This Row],[v2elsnlfc_nr]:[v2elsnmrfc_nr]])</f>
        <v>2.5</v>
      </c>
      <c r="D22">
        <f>Table1[[#This Row],[v2el_avg]]-Table1[[#This Row],[v2elsn_avg]]</f>
        <v>3</v>
      </c>
      <c r="E22">
        <f>AVERAGE(Table13[[#This Row],[v2cltort_nr]:[v2clprptyw_nr]])</f>
        <v>5.9545454545454541</v>
      </c>
      <c r="F22">
        <f>AVERAGE(Table13[[#This Row],[v2clrgstch_nr]:[v2clrgwkch_nr]])</f>
        <v>3</v>
      </c>
      <c r="G22">
        <f>Table13[[#This Row],[v2cl_avg]]-Table13[[#This Row],[v2clsn_avg]]</f>
        <v>2.9545454545454541</v>
      </c>
      <c r="H22" s="4">
        <f>MAX(Table1[[#This Row],[v2eldonate_nr]:[v2elsnmrfc_nr]])</f>
        <v>8</v>
      </c>
      <c r="I22" s="4">
        <f>MAX(Table13[[#This Row],[v2cltort_nr]:[v2clrgwkch_nr]])</f>
        <v>6</v>
      </c>
      <c r="J22" s="4">
        <f>MAX(Table13[[#This Row],[v2clrgstch_nr]:[v2clrgwkch_nr]])</f>
        <v>3</v>
      </c>
      <c r="K22" s="4">
        <f>MAX(Table1[[#This Row],[v2elsnlfc_nr]:[v2elsnmrfc_nr]])</f>
        <v>3</v>
      </c>
    </row>
    <row r="23" spans="1:11" x14ac:dyDescent="0.35">
      <c r="A23" s="2">
        <v>1921</v>
      </c>
      <c r="B23">
        <f>AVERAGE(Table1[[#This Row],[v2eldonate_nr]:[v2elffelrbin_nr]])</f>
        <v>4.5</v>
      </c>
      <c r="C23">
        <f>AVERAGE(Table1[[#This Row],[v2elsnlfc_nr]:[v2elsnmrfc_nr]])</f>
        <v>2.5</v>
      </c>
      <c r="D23">
        <f>Table1[[#This Row],[v2el_avg]]-Table1[[#This Row],[v2elsn_avg]]</f>
        <v>2</v>
      </c>
      <c r="E23">
        <f>AVERAGE(Table13[[#This Row],[v2cltort_nr]:[v2clprptyw_nr]])</f>
        <v>5</v>
      </c>
      <c r="F23">
        <f>AVERAGE(Table13[[#This Row],[v2clrgstch_nr]:[v2clrgwkch_nr]])</f>
        <v>3</v>
      </c>
      <c r="G23">
        <f>Table13[[#This Row],[v2cl_avg]]-Table13[[#This Row],[v2clsn_avg]]</f>
        <v>2</v>
      </c>
      <c r="H23" s="4">
        <f>MAX(Table1[[#This Row],[v2eldonate_nr]:[v2elsnmrfc_nr]])</f>
        <v>7</v>
      </c>
      <c r="I23" s="4">
        <f>MAX(Table13[[#This Row],[v2cltort_nr]:[v2clrgwkch_nr]])</f>
        <v>5</v>
      </c>
      <c r="J23" s="4">
        <f>MAX(Table13[[#This Row],[v2clrgstch_nr]:[v2clrgwkch_nr]])</f>
        <v>3</v>
      </c>
      <c r="K23" s="4">
        <f>MAX(Table1[[#This Row],[v2elsnlfc_nr]:[v2elsnmrfc_nr]])</f>
        <v>3</v>
      </c>
    </row>
    <row r="24" spans="1:11" x14ac:dyDescent="0.35">
      <c r="A24" s="1">
        <v>1922</v>
      </c>
      <c r="B24">
        <f>AVERAGE(Table1[[#This Row],[v2eldonate_nr]:[v2elffelrbin_nr]])</f>
        <v>5.8571428571428568</v>
      </c>
      <c r="C24">
        <f>AVERAGE(Table1[[#This Row],[v2elsnlfc_nr]:[v2elsnmrfc_nr]])</f>
        <v>2.5</v>
      </c>
      <c r="D24">
        <f>Table1[[#This Row],[v2el_avg]]-Table1[[#This Row],[v2elsn_avg]]</f>
        <v>3.3571428571428568</v>
      </c>
      <c r="E24">
        <f>AVERAGE(Table13[[#This Row],[v2cltort_nr]:[v2clprptyw_nr]])</f>
        <v>5</v>
      </c>
      <c r="F24">
        <f>AVERAGE(Table13[[#This Row],[v2clrgstch_nr]:[v2clrgwkch_nr]])</f>
        <v>3</v>
      </c>
      <c r="G24">
        <f>Table13[[#This Row],[v2cl_avg]]-Table13[[#This Row],[v2clsn_avg]]</f>
        <v>2</v>
      </c>
      <c r="H24" s="4">
        <f>MAX(Table1[[#This Row],[v2eldonate_nr]:[v2elsnmrfc_nr]])</f>
        <v>7</v>
      </c>
      <c r="I24" s="4">
        <f>MAX(Table13[[#This Row],[v2cltort_nr]:[v2clrgwkch_nr]])</f>
        <v>5</v>
      </c>
      <c r="J24" s="4">
        <f>MAX(Table13[[#This Row],[v2clrgstch_nr]:[v2clrgwkch_nr]])</f>
        <v>3</v>
      </c>
      <c r="K24" s="4">
        <f>MAX(Table1[[#This Row],[v2elsnlfc_nr]:[v2elsnmrfc_nr]])</f>
        <v>3</v>
      </c>
    </row>
    <row r="25" spans="1:11" x14ac:dyDescent="0.35">
      <c r="A25" s="2">
        <v>1923</v>
      </c>
      <c r="B25">
        <f>AVERAGE(Table1[[#This Row],[v2eldonate_nr]:[v2elffelrbin_nr]])</f>
        <v>4.5</v>
      </c>
      <c r="C25">
        <f>AVERAGE(Table1[[#This Row],[v2elsnlfc_nr]:[v2elsnmrfc_nr]])</f>
        <v>2.5</v>
      </c>
      <c r="D25">
        <f>Table1[[#This Row],[v2el_avg]]-Table1[[#This Row],[v2elsn_avg]]</f>
        <v>2</v>
      </c>
      <c r="E25">
        <f>AVERAGE(Table13[[#This Row],[v2cltort_nr]:[v2clprptyw_nr]])</f>
        <v>5</v>
      </c>
      <c r="F25">
        <f>AVERAGE(Table13[[#This Row],[v2clrgstch_nr]:[v2clrgwkch_nr]])</f>
        <v>3</v>
      </c>
      <c r="G25">
        <f>Table13[[#This Row],[v2cl_avg]]-Table13[[#This Row],[v2clsn_avg]]</f>
        <v>2</v>
      </c>
      <c r="H25" s="4">
        <f>MAX(Table1[[#This Row],[v2eldonate_nr]:[v2elsnmrfc_nr]])</f>
        <v>7</v>
      </c>
      <c r="I25" s="4">
        <f>MAX(Table13[[#This Row],[v2cltort_nr]:[v2clrgwkch_nr]])</f>
        <v>5</v>
      </c>
      <c r="J25" s="4">
        <f>MAX(Table13[[#This Row],[v2clrgstch_nr]:[v2clrgwkch_nr]])</f>
        <v>3</v>
      </c>
      <c r="K25" s="4">
        <f>MAX(Table1[[#This Row],[v2elsnlfc_nr]:[v2elsnmrfc_nr]])</f>
        <v>3</v>
      </c>
    </row>
    <row r="26" spans="1:11" x14ac:dyDescent="0.35">
      <c r="A26" s="1">
        <v>1924</v>
      </c>
      <c r="B26">
        <f>AVERAGE(Table1[[#This Row],[v2eldonate_nr]:[v2elffelrbin_nr]])</f>
        <v>4.5</v>
      </c>
      <c r="C26">
        <f>AVERAGE(Table1[[#This Row],[v2elsnlfc_nr]:[v2elsnmrfc_nr]])</f>
        <v>2.5</v>
      </c>
      <c r="D26">
        <f>Table1[[#This Row],[v2el_avg]]-Table1[[#This Row],[v2elsn_avg]]</f>
        <v>2</v>
      </c>
      <c r="E26">
        <f>AVERAGE(Table13[[#This Row],[v2cltort_nr]:[v2clprptyw_nr]])</f>
        <v>5</v>
      </c>
      <c r="F26">
        <f>AVERAGE(Table13[[#This Row],[v2clrgstch_nr]:[v2clrgwkch_nr]])</f>
        <v>3</v>
      </c>
      <c r="G26">
        <f>Table13[[#This Row],[v2cl_avg]]-Table13[[#This Row],[v2clsn_avg]]</f>
        <v>2</v>
      </c>
      <c r="H26" s="4">
        <f>MAX(Table1[[#This Row],[v2eldonate_nr]:[v2elsnmrfc_nr]])</f>
        <v>7</v>
      </c>
      <c r="I26" s="4">
        <f>MAX(Table13[[#This Row],[v2cltort_nr]:[v2clrgwkch_nr]])</f>
        <v>5</v>
      </c>
      <c r="J26" s="4">
        <f>MAX(Table13[[#This Row],[v2clrgstch_nr]:[v2clrgwkch_nr]])</f>
        <v>3</v>
      </c>
      <c r="K26" s="4">
        <f>MAX(Table1[[#This Row],[v2elsnlfc_nr]:[v2elsnmrfc_nr]])</f>
        <v>3</v>
      </c>
    </row>
    <row r="27" spans="1:11" x14ac:dyDescent="0.35">
      <c r="A27" s="2">
        <v>1925</v>
      </c>
      <c r="B27">
        <f>AVERAGE(Table1[[#This Row],[v2eldonate_nr]:[v2elffelrbin_nr]])</f>
        <v>4.5</v>
      </c>
      <c r="C27">
        <f>AVERAGE(Table1[[#This Row],[v2elsnlfc_nr]:[v2elsnmrfc_nr]])</f>
        <v>2.5</v>
      </c>
      <c r="D27">
        <f>Table1[[#This Row],[v2el_avg]]-Table1[[#This Row],[v2elsn_avg]]</f>
        <v>2</v>
      </c>
      <c r="E27">
        <f>AVERAGE(Table13[[#This Row],[v2cltort_nr]:[v2clprptyw_nr]])</f>
        <v>5</v>
      </c>
      <c r="F27">
        <f>AVERAGE(Table13[[#This Row],[v2clrgstch_nr]:[v2clrgwkch_nr]])</f>
        <v>3</v>
      </c>
      <c r="G27">
        <f>Table13[[#This Row],[v2cl_avg]]-Table13[[#This Row],[v2clsn_avg]]</f>
        <v>2</v>
      </c>
      <c r="H27" s="4">
        <f>MAX(Table1[[#This Row],[v2eldonate_nr]:[v2elsnmrfc_nr]])</f>
        <v>7</v>
      </c>
      <c r="I27" s="4">
        <f>MAX(Table13[[#This Row],[v2cltort_nr]:[v2clrgwkch_nr]])</f>
        <v>5</v>
      </c>
      <c r="J27" s="4">
        <f>MAX(Table13[[#This Row],[v2clrgstch_nr]:[v2clrgwkch_nr]])</f>
        <v>3</v>
      </c>
      <c r="K27" s="4">
        <f>MAX(Table1[[#This Row],[v2elsnlfc_nr]:[v2elsnmrfc_nr]])</f>
        <v>3</v>
      </c>
    </row>
    <row r="28" spans="1:11" x14ac:dyDescent="0.35">
      <c r="A28" s="1">
        <v>1926</v>
      </c>
      <c r="B28">
        <f>AVERAGE(Table1[[#This Row],[v2eldonate_nr]:[v2elffelrbin_nr]])</f>
        <v>5.8095238095238093</v>
      </c>
      <c r="C28">
        <f>AVERAGE(Table1[[#This Row],[v2elsnlfc_nr]:[v2elsnmrfc_nr]])</f>
        <v>2.5</v>
      </c>
      <c r="D28">
        <f>Table1[[#This Row],[v2el_avg]]-Table1[[#This Row],[v2elsn_avg]]</f>
        <v>3.3095238095238093</v>
      </c>
      <c r="E28">
        <f>AVERAGE(Table13[[#This Row],[v2cltort_nr]:[v2clprptyw_nr]])</f>
        <v>5</v>
      </c>
      <c r="F28">
        <f>AVERAGE(Table13[[#This Row],[v2clrgstch_nr]:[v2clrgwkch_nr]])</f>
        <v>3</v>
      </c>
      <c r="G28">
        <f>Table13[[#This Row],[v2cl_avg]]-Table13[[#This Row],[v2clsn_avg]]</f>
        <v>2</v>
      </c>
      <c r="H28" s="4">
        <f>MAX(Table1[[#This Row],[v2eldonate_nr]:[v2elsnmrfc_nr]])</f>
        <v>7</v>
      </c>
      <c r="I28" s="4">
        <f>MAX(Table13[[#This Row],[v2cltort_nr]:[v2clrgwkch_nr]])</f>
        <v>5</v>
      </c>
      <c r="J28" s="4">
        <f>MAX(Table13[[#This Row],[v2clrgstch_nr]:[v2clrgwkch_nr]])</f>
        <v>3</v>
      </c>
      <c r="K28" s="4">
        <f>MAX(Table1[[#This Row],[v2elsnlfc_nr]:[v2elsnmrfc_nr]])</f>
        <v>3</v>
      </c>
    </row>
    <row r="29" spans="1:11" x14ac:dyDescent="0.35">
      <c r="A29" s="2">
        <v>1927</v>
      </c>
      <c r="B29">
        <f>AVERAGE(Table1[[#This Row],[v2eldonate_nr]:[v2elffelrbin_nr]])</f>
        <v>4.5</v>
      </c>
      <c r="C29">
        <f>AVERAGE(Table1[[#This Row],[v2elsnlfc_nr]:[v2elsnmrfc_nr]])</f>
        <v>2.5</v>
      </c>
      <c r="D29">
        <f>Table1[[#This Row],[v2el_avg]]-Table1[[#This Row],[v2elsn_avg]]</f>
        <v>2</v>
      </c>
      <c r="E29">
        <f>AVERAGE(Table13[[#This Row],[v2cltort_nr]:[v2clprptyw_nr]])</f>
        <v>5</v>
      </c>
      <c r="F29">
        <f>AVERAGE(Table13[[#This Row],[v2clrgstch_nr]:[v2clrgwkch_nr]])</f>
        <v>3</v>
      </c>
      <c r="G29">
        <f>Table13[[#This Row],[v2cl_avg]]-Table13[[#This Row],[v2clsn_avg]]</f>
        <v>2</v>
      </c>
      <c r="H29" s="4">
        <f>MAX(Table1[[#This Row],[v2eldonate_nr]:[v2elsnmrfc_nr]])</f>
        <v>7</v>
      </c>
      <c r="I29" s="4">
        <f>MAX(Table13[[#This Row],[v2cltort_nr]:[v2clrgwkch_nr]])</f>
        <v>5</v>
      </c>
      <c r="J29" s="4">
        <f>MAX(Table13[[#This Row],[v2clrgstch_nr]:[v2clrgwkch_nr]])</f>
        <v>3</v>
      </c>
      <c r="K29" s="4">
        <f>MAX(Table1[[#This Row],[v2elsnlfc_nr]:[v2elsnmrfc_nr]])</f>
        <v>3</v>
      </c>
    </row>
    <row r="30" spans="1:11" x14ac:dyDescent="0.35">
      <c r="A30" s="1">
        <v>1928</v>
      </c>
      <c r="B30">
        <f>AVERAGE(Table1[[#This Row],[v2eldonate_nr]:[v2elffelrbin_nr]])</f>
        <v>4.5</v>
      </c>
      <c r="C30">
        <f>AVERAGE(Table1[[#This Row],[v2elsnlfc_nr]:[v2elsnmrfc_nr]])</f>
        <v>2.5</v>
      </c>
      <c r="D30">
        <f>Table1[[#This Row],[v2el_avg]]-Table1[[#This Row],[v2elsn_avg]]</f>
        <v>2</v>
      </c>
      <c r="E30">
        <f>AVERAGE(Table13[[#This Row],[v2cltort_nr]:[v2clprptyw_nr]])</f>
        <v>4.9090909090909092</v>
      </c>
      <c r="F30">
        <f>AVERAGE(Table13[[#This Row],[v2clrgstch_nr]:[v2clrgwkch_nr]])</f>
        <v>3</v>
      </c>
      <c r="G30">
        <f>Table13[[#This Row],[v2cl_avg]]-Table13[[#This Row],[v2clsn_avg]]</f>
        <v>1.9090909090909092</v>
      </c>
      <c r="H30" s="4">
        <f>MAX(Table1[[#This Row],[v2eldonate_nr]:[v2elsnmrfc_nr]])</f>
        <v>7</v>
      </c>
      <c r="I30" s="4">
        <f>MAX(Table13[[#This Row],[v2cltort_nr]:[v2clrgwkch_nr]])</f>
        <v>5</v>
      </c>
      <c r="J30" s="4">
        <f>MAX(Table13[[#This Row],[v2clrgstch_nr]:[v2clrgwkch_nr]])</f>
        <v>3</v>
      </c>
      <c r="K30" s="4">
        <f>MAX(Table1[[#This Row],[v2elsnlfc_nr]:[v2elsnmrfc_nr]])</f>
        <v>3</v>
      </c>
    </row>
    <row r="31" spans="1:11" x14ac:dyDescent="0.35">
      <c r="A31" s="2">
        <v>1929</v>
      </c>
      <c r="B31">
        <f>AVERAGE(Table1[[#This Row],[v2eldonate_nr]:[v2elffelrbin_nr]])</f>
        <v>4.5</v>
      </c>
      <c r="C31">
        <f>AVERAGE(Table1[[#This Row],[v2elsnlfc_nr]:[v2elsnmrfc_nr]])</f>
        <v>2.5</v>
      </c>
      <c r="D31">
        <f>Table1[[#This Row],[v2el_avg]]-Table1[[#This Row],[v2elsn_avg]]</f>
        <v>2</v>
      </c>
      <c r="E31">
        <f>AVERAGE(Table13[[#This Row],[v2cltort_nr]:[v2clprptyw_nr]])</f>
        <v>5</v>
      </c>
      <c r="F31">
        <f>AVERAGE(Table13[[#This Row],[v2clrgstch_nr]:[v2clrgwkch_nr]])</f>
        <v>3</v>
      </c>
      <c r="G31">
        <f>Table13[[#This Row],[v2cl_avg]]-Table13[[#This Row],[v2clsn_avg]]</f>
        <v>2</v>
      </c>
      <c r="H31" s="4">
        <f>MAX(Table1[[#This Row],[v2eldonate_nr]:[v2elsnmrfc_nr]])</f>
        <v>7</v>
      </c>
      <c r="I31" s="4">
        <f>MAX(Table13[[#This Row],[v2cltort_nr]:[v2clrgwkch_nr]])</f>
        <v>5</v>
      </c>
      <c r="J31" s="4">
        <f>MAX(Table13[[#This Row],[v2clrgstch_nr]:[v2clrgwkch_nr]])</f>
        <v>3</v>
      </c>
      <c r="K31" s="4">
        <f>MAX(Table1[[#This Row],[v2elsnlfc_nr]:[v2elsnmrfc_nr]])</f>
        <v>3</v>
      </c>
    </row>
    <row r="32" spans="1:11" x14ac:dyDescent="0.35">
      <c r="A32" s="1">
        <v>1930</v>
      </c>
      <c r="B32">
        <f>AVERAGE(Table1[[#This Row],[v2eldonate_nr]:[v2elffelrbin_nr]])</f>
        <v>5.9523809523809526</v>
      </c>
      <c r="C32">
        <f>AVERAGE(Table1[[#This Row],[v2elsnlfc_nr]:[v2elsnmrfc_nr]])</f>
        <v>3</v>
      </c>
      <c r="D32">
        <f>Table1[[#This Row],[v2el_avg]]-Table1[[#This Row],[v2elsn_avg]]</f>
        <v>2.9523809523809526</v>
      </c>
      <c r="E32">
        <f>AVERAGE(Table13[[#This Row],[v2cltort_nr]:[v2clprptyw_nr]])</f>
        <v>5</v>
      </c>
      <c r="F32">
        <f>AVERAGE(Table13[[#This Row],[v2clrgstch_nr]:[v2clrgwkch_nr]])</f>
        <v>3</v>
      </c>
      <c r="G32">
        <f>Table13[[#This Row],[v2cl_avg]]-Table13[[#This Row],[v2clsn_avg]]</f>
        <v>2</v>
      </c>
      <c r="H32" s="4">
        <f>MAX(Table1[[#This Row],[v2eldonate_nr]:[v2elsnmrfc_nr]])</f>
        <v>7</v>
      </c>
      <c r="I32" s="4">
        <f>MAX(Table13[[#This Row],[v2cltort_nr]:[v2clrgwkch_nr]])</f>
        <v>5</v>
      </c>
      <c r="J32" s="4">
        <f>MAX(Table13[[#This Row],[v2clrgstch_nr]:[v2clrgwkch_nr]])</f>
        <v>3</v>
      </c>
      <c r="K32" s="4">
        <f>MAX(Table1[[#This Row],[v2elsnlfc_nr]:[v2elsnmrfc_nr]])</f>
        <v>3</v>
      </c>
    </row>
    <row r="33" spans="1:11" x14ac:dyDescent="0.35">
      <c r="A33" s="2">
        <v>1931</v>
      </c>
      <c r="B33">
        <f>AVERAGE(Table1[[#This Row],[v2eldonate_nr]:[v2elffelrbin_nr]])</f>
        <v>5.9047619047619051</v>
      </c>
      <c r="C33">
        <f>AVERAGE(Table1[[#This Row],[v2elsnlfc_nr]:[v2elsnmrfc_nr]])</f>
        <v>3</v>
      </c>
      <c r="D33">
        <f>Table1[[#This Row],[v2el_avg]]-Table1[[#This Row],[v2elsn_avg]]</f>
        <v>2.9047619047619051</v>
      </c>
      <c r="E33">
        <f>AVERAGE(Table13[[#This Row],[v2cltort_nr]:[v2clprptyw_nr]])</f>
        <v>5</v>
      </c>
      <c r="F33">
        <f>AVERAGE(Table13[[#This Row],[v2clrgstch_nr]:[v2clrgwkch_nr]])</f>
        <v>3</v>
      </c>
      <c r="G33">
        <f>Table13[[#This Row],[v2cl_avg]]-Table13[[#This Row],[v2clsn_avg]]</f>
        <v>2</v>
      </c>
      <c r="H33" s="4">
        <f>MAX(Table1[[#This Row],[v2eldonate_nr]:[v2elsnmrfc_nr]])</f>
        <v>7</v>
      </c>
      <c r="I33" s="4">
        <f>MAX(Table13[[#This Row],[v2cltort_nr]:[v2clrgwkch_nr]])</f>
        <v>5</v>
      </c>
      <c r="J33" s="4">
        <f>MAX(Table13[[#This Row],[v2clrgstch_nr]:[v2clrgwkch_nr]])</f>
        <v>3</v>
      </c>
      <c r="K33" s="4">
        <f>MAX(Table1[[#This Row],[v2elsnlfc_nr]:[v2elsnmrfc_nr]])</f>
        <v>3</v>
      </c>
    </row>
    <row r="34" spans="1:11" x14ac:dyDescent="0.35">
      <c r="A34" s="1">
        <v>1932</v>
      </c>
      <c r="B34">
        <f>AVERAGE(Table1[[#This Row],[v2eldonate_nr]:[v2elffelrbin_nr]])</f>
        <v>4.5</v>
      </c>
      <c r="C34">
        <f>AVERAGE(Table1[[#This Row],[v2elsnlfc_nr]:[v2elsnmrfc_nr]])</f>
        <v>3</v>
      </c>
      <c r="D34">
        <f>Table1[[#This Row],[v2el_avg]]-Table1[[#This Row],[v2elsn_avg]]</f>
        <v>1.5</v>
      </c>
      <c r="E34">
        <f>AVERAGE(Table13[[#This Row],[v2cltort_nr]:[v2clprptyw_nr]])</f>
        <v>5</v>
      </c>
      <c r="F34">
        <f>AVERAGE(Table13[[#This Row],[v2clrgstch_nr]:[v2clrgwkch_nr]])</f>
        <v>3</v>
      </c>
      <c r="G34">
        <f>Table13[[#This Row],[v2cl_avg]]-Table13[[#This Row],[v2clsn_avg]]</f>
        <v>2</v>
      </c>
      <c r="H34" s="4">
        <f>MAX(Table1[[#This Row],[v2eldonate_nr]:[v2elsnmrfc_nr]])</f>
        <v>7</v>
      </c>
      <c r="I34" s="4">
        <f>MAX(Table13[[#This Row],[v2cltort_nr]:[v2clrgwkch_nr]])</f>
        <v>5</v>
      </c>
      <c r="J34" s="4">
        <f>MAX(Table13[[#This Row],[v2clrgstch_nr]:[v2clrgwkch_nr]])</f>
        <v>3</v>
      </c>
      <c r="K34" s="4">
        <f>MAX(Table1[[#This Row],[v2elsnlfc_nr]:[v2elsnmrfc_nr]])</f>
        <v>3</v>
      </c>
    </row>
    <row r="35" spans="1:11" x14ac:dyDescent="0.35">
      <c r="A35" s="2">
        <v>1933</v>
      </c>
      <c r="B35">
        <f>AVERAGE(Table1[[#This Row],[v2eldonate_nr]:[v2elffelrbin_nr]])</f>
        <v>5.9047619047619051</v>
      </c>
      <c r="C35">
        <f>AVERAGE(Table1[[#This Row],[v2elsnlfc_nr]:[v2elsnmrfc_nr]])</f>
        <v>3</v>
      </c>
      <c r="D35">
        <f>Table1[[#This Row],[v2el_avg]]-Table1[[#This Row],[v2elsn_avg]]</f>
        <v>2.9047619047619051</v>
      </c>
      <c r="E35">
        <f>AVERAGE(Table13[[#This Row],[v2cltort_nr]:[v2clprptyw_nr]])</f>
        <v>5</v>
      </c>
      <c r="F35">
        <f>AVERAGE(Table13[[#This Row],[v2clrgstch_nr]:[v2clrgwkch_nr]])</f>
        <v>3</v>
      </c>
      <c r="G35">
        <f>Table13[[#This Row],[v2cl_avg]]-Table13[[#This Row],[v2clsn_avg]]</f>
        <v>2</v>
      </c>
      <c r="H35" s="4">
        <f>MAX(Table1[[#This Row],[v2eldonate_nr]:[v2elsnmrfc_nr]])</f>
        <v>7</v>
      </c>
      <c r="I35" s="4">
        <f>MAX(Table13[[#This Row],[v2cltort_nr]:[v2clrgwkch_nr]])</f>
        <v>5</v>
      </c>
      <c r="J35" s="4">
        <f>MAX(Table13[[#This Row],[v2clrgstch_nr]:[v2clrgwkch_nr]])</f>
        <v>3</v>
      </c>
      <c r="K35" s="4">
        <f>MAX(Table1[[#This Row],[v2elsnlfc_nr]:[v2elsnmrfc_nr]])</f>
        <v>3</v>
      </c>
    </row>
    <row r="36" spans="1:11" x14ac:dyDescent="0.35">
      <c r="A36" s="1">
        <v>1934</v>
      </c>
      <c r="B36">
        <f>AVERAGE(Table1[[#This Row],[v2eldonate_nr]:[v2elffelrbin_nr]])</f>
        <v>5.9523809523809526</v>
      </c>
      <c r="C36">
        <f>AVERAGE(Table1[[#This Row],[v2elsnlfc_nr]:[v2elsnmrfc_nr]])</f>
        <v>3</v>
      </c>
      <c r="D36">
        <f>Table1[[#This Row],[v2el_avg]]-Table1[[#This Row],[v2elsn_avg]]</f>
        <v>2.9523809523809526</v>
      </c>
      <c r="E36">
        <f>AVERAGE(Table13[[#This Row],[v2cltort_nr]:[v2clprptyw_nr]])</f>
        <v>5</v>
      </c>
      <c r="F36">
        <f>AVERAGE(Table13[[#This Row],[v2clrgstch_nr]:[v2clrgwkch_nr]])</f>
        <v>3</v>
      </c>
      <c r="G36">
        <f>Table13[[#This Row],[v2cl_avg]]-Table13[[#This Row],[v2clsn_avg]]</f>
        <v>2</v>
      </c>
      <c r="H36" s="4">
        <f>MAX(Table1[[#This Row],[v2eldonate_nr]:[v2elsnmrfc_nr]])</f>
        <v>7</v>
      </c>
      <c r="I36" s="4">
        <f>MAX(Table13[[#This Row],[v2cltort_nr]:[v2clrgwkch_nr]])</f>
        <v>5</v>
      </c>
      <c r="J36" s="4">
        <f>MAX(Table13[[#This Row],[v2clrgstch_nr]:[v2clrgwkch_nr]])</f>
        <v>3</v>
      </c>
      <c r="K36" s="4">
        <f>MAX(Table1[[#This Row],[v2elsnlfc_nr]:[v2elsnmrfc_nr]])</f>
        <v>3</v>
      </c>
    </row>
    <row r="37" spans="1:11" x14ac:dyDescent="0.35">
      <c r="A37" s="2">
        <v>1935</v>
      </c>
      <c r="B37">
        <f>AVERAGE(Table1[[#This Row],[v2eldonate_nr]:[v2elffelrbin_nr]])</f>
        <v>5.9047619047619051</v>
      </c>
      <c r="C37">
        <f>AVERAGE(Table1[[#This Row],[v2elsnlfc_nr]:[v2elsnmrfc_nr]])</f>
        <v>3</v>
      </c>
      <c r="D37">
        <f>Table1[[#This Row],[v2el_avg]]-Table1[[#This Row],[v2elsn_avg]]</f>
        <v>2.9047619047619051</v>
      </c>
      <c r="E37">
        <f>AVERAGE(Table13[[#This Row],[v2cltort_nr]:[v2clprptyw_nr]])</f>
        <v>5</v>
      </c>
      <c r="F37">
        <f>AVERAGE(Table13[[#This Row],[v2clrgstch_nr]:[v2clrgwkch_nr]])</f>
        <v>3</v>
      </c>
      <c r="G37">
        <f>Table13[[#This Row],[v2cl_avg]]-Table13[[#This Row],[v2clsn_avg]]</f>
        <v>2</v>
      </c>
      <c r="H37" s="4">
        <f>MAX(Table1[[#This Row],[v2eldonate_nr]:[v2elsnmrfc_nr]])</f>
        <v>7</v>
      </c>
      <c r="I37" s="4">
        <f>MAX(Table13[[#This Row],[v2cltort_nr]:[v2clrgwkch_nr]])</f>
        <v>5</v>
      </c>
      <c r="J37" s="4">
        <f>MAX(Table13[[#This Row],[v2clrgstch_nr]:[v2clrgwkch_nr]])</f>
        <v>3</v>
      </c>
      <c r="K37" s="4">
        <f>MAX(Table1[[#This Row],[v2elsnlfc_nr]:[v2elsnmrfc_nr]])</f>
        <v>3</v>
      </c>
    </row>
    <row r="38" spans="1:11" x14ac:dyDescent="0.35">
      <c r="A38" s="1">
        <v>1936</v>
      </c>
      <c r="B38">
        <f>AVERAGE(Table1[[#This Row],[v2eldonate_nr]:[v2elffelrbin_nr]])</f>
        <v>4.5</v>
      </c>
      <c r="C38">
        <f>AVERAGE(Table1[[#This Row],[v2elsnlfc_nr]:[v2elsnmrfc_nr]])</f>
        <v>3</v>
      </c>
      <c r="D38">
        <f>Table1[[#This Row],[v2el_avg]]-Table1[[#This Row],[v2elsn_avg]]</f>
        <v>1.5</v>
      </c>
      <c r="E38">
        <f>AVERAGE(Table13[[#This Row],[v2cltort_nr]:[v2clprptyw_nr]])</f>
        <v>5</v>
      </c>
      <c r="F38">
        <f>AVERAGE(Table13[[#This Row],[v2clrgstch_nr]:[v2clrgwkch_nr]])</f>
        <v>3</v>
      </c>
      <c r="G38">
        <f>Table13[[#This Row],[v2cl_avg]]-Table13[[#This Row],[v2clsn_avg]]</f>
        <v>2</v>
      </c>
      <c r="H38" s="4">
        <f>MAX(Table1[[#This Row],[v2eldonate_nr]:[v2elsnmrfc_nr]])</f>
        <v>7</v>
      </c>
      <c r="I38" s="4">
        <f>MAX(Table13[[#This Row],[v2cltort_nr]:[v2clrgwkch_nr]])</f>
        <v>5</v>
      </c>
      <c r="J38" s="4">
        <f>MAX(Table13[[#This Row],[v2clrgstch_nr]:[v2clrgwkch_nr]])</f>
        <v>3</v>
      </c>
      <c r="K38" s="4">
        <f>MAX(Table1[[#This Row],[v2elsnlfc_nr]:[v2elsnmrfc_nr]])</f>
        <v>3</v>
      </c>
    </row>
    <row r="39" spans="1:11" x14ac:dyDescent="0.35">
      <c r="A39" s="2">
        <v>1937</v>
      </c>
      <c r="B39">
        <f>AVERAGE(Table1[[#This Row],[v2eldonate_nr]:[v2elffelrbin_nr]])</f>
        <v>6</v>
      </c>
      <c r="C39">
        <f>AVERAGE(Table1[[#This Row],[v2elsnlfc_nr]:[v2elsnmrfc_nr]])</f>
        <v>3</v>
      </c>
      <c r="D39">
        <f>Table1[[#This Row],[v2el_avg]]-Table1[[#This Row],[v2elsn_avg]]</f>
        <v>3</v>
      </c>
      <c r="E39">
        <f>AVERAGE(Table13[[#This Row],[v2cltort_nr]:[v2clprptyw_nr]])</f>
        <v>5</v>
      </c>
      <c r="F39">
        <f>AVERAGE(Table13[[#This Row],[v2clrgstch_nr]:[v2clrgwkch_nr]])</f>
        <v>3</v>
      </c>
      <c r="G39">
        <f>Table13[[#This Row],[v2cl_avg]]-Table13[[#This Row],[v2clsn_avg]]</f>
        <v>2</v>
      </c>
      <c r="H39" s="4">
        <f>MAX(Table1[[#This Row],[v2eldonate_nr]:[v2elsnmrfc_nr]])</f>
        <v>7</v>
      </c>
      <c r="I39" s="4">
        <f>MAX(Table13[[#This Row],[v2cltort_nr]:[v2clrgwkch_nr]])</f>
        <v>5</v>
      </c>
      <c r="J39" s="4">
        <f>MAX(Table13[[#This Row],[v2clrgstch_nr]:[v2clrgwkch_nr]])</f>
        <v>3</v>
      </c>
      <c r="K39" s="4">
        <f>MAX(Table1[[#This Row],[v2elsnlfc_nr]:[v2elsnmrfc_nr]])</f>
        <v>3</v>
      </c>
    </row>
    <row r="40" spans="1:11" x14ac:dyDescent="0.35">
      <c r="A40" s="1">
        <v>1938</v>
      </c>
      <c r="B40">
        <f>AVERAGE(Table1[[#This Row],[v2eldonate_nr]:[v2elffelrbin_nr]])</f>
        <v>5.9523809523809526</v>
      </c>
      <c r="C40">
        <f>AVERAGE(Table1[[#This Row],[v2elsnlfc_nr]:[v2elsnmrfc_nr]])</f>
        <v>3</v>
      </c>
      <c r="D40">
        <f>Table1[[#This Row],[v2el_avg]]-Table1[[#This Row],[v2elsn_avg]]</f>
        <v>2.9523809523809526</v>
      </c>
      <c r="E40">
        <f>AVERAGE(Table13[[#This Row],[v2cltort_nr]:[v2clprptyw_nr]])</f>
        <v>5</v>
      </c>
      <c r="F40">
        <f>AVERAGE(Table13[[#This Row],[v2clrgstch_nr]:[v2clrgwkch_nr]])</f>
        <v>3</v>
      </c>
      <c r="G40">
        <f>Table13[[#This Row],[v2cl_avg]]-Table13[[#This Row],[v2clsn_avg]]</f>
        <v>2</v>
      </c>
      <c r="H40" s="4">
        <f>MAX(Table1[[#This Row],[v2eldonate_nr]:[v2elsnmrfc_nr]])</f>
        <v>7</v>
      </c>
      <c r="I40" s="4">
        <f>MAX(Table13[[#This Row],[v2cltort_nr]:[v2clrgwkch_nr]])</f>
        <v>5</v>
      </c>
      <c r="J40" s="4">
        <f>MAX(Table13[[#This Row],[v2clrgstch_nr]:[v2clrgwkch_nr]])</f>
        <v>3</v>
      </c>
      <c r="K40" s="4">
        <f>MAX(Table1[[#This Row],[v2elsnlfc_nr]:[v2elsnmrfc_nr]])</f>
        <v>3</v>
      </c>
    </row>
    <row r="41" spans="1:11" x14ac:dyDescent="0.35">
      <c r="A41" s="2">
        <v>1939</v>
      </c>
      <c r="B41">
        <f>AVERAGE(Table1[[#This Row],[v2eldonate_nr]:[v2elffelrbin_nr]])</f>
        <v>6</v>
      </c>
      <c r="C41">
        <f>AVERAGE(Table1[[#This Row],[v2elsnlfc_nr]:[v2elsnmrfc_nr]])</f>
        <v>3</v>
      </c>
      <c r="D41">
        <f>Table1[[#This Row],[v2el_avg]]-Table1[[#This Row],[v2elsn_avg]]</f>
        <v>3</v>
      </c>
      <c r="E41">
        <f>AVERAGE(Table13[[#This Row],[v2cltort_nr]:[v2clprptyw_nr]])</f>
        <v>5</v>
      </c>
      <c r="F41">
        <f>AVERAGE(Table13[[#This Row],[v2clrgstch_nr]:[v2clrgwkch_nr]])</f>
        <v>3</v>
      </c>
      <c r="G41">
        <f>Table13[[#This Row],[v2cl_avg]]-Table13[[#This Row],[v2clsn_avg]]</f>
        <v>2</v>
      </c>
      <c r="H41" s="4">
        <f>MAX(Table1[[#This Row],[v2eldonate_nr]:[v2elsnmrfc_nr]])</f>
        <v>7</v>
      </c>
      <c r="I41" s="4">
        <f>MAX(Table13[[#This Row],[v2cltort_nr]:[v2clrgwkch_nr]])</f>
        <v>5</v>
      </c>
      <c r="J41" s="4">
        <f>MAX(Table13[[#This Row],[v2clrgstch_nr]:[v2clrgwkch_nr]])</f>
        <v>3</v>
      </c>
      <c r="K41" s="4">
        <f>MAX(Table1[[#This Row],[v2elsnlfc_nr]:[v2elsnmrfc_nr]])</f>
        <v>3</v>
      </c>
    </row>
    <row r="42" spans="1:11" x14ac:dyDescent="0.35">
      <c r="A42" s="1">
        <v>1940</v>
      </c>
      <c r="B42">
        <f>AVERAGE(Table1[[#This Row],[v2eldonate_nr]:[v2elffelrbin_nr]])</f>
        <v>4.5</v>
      </c>
      <c r="C42">
        <f>AVERAGE(Table1[[#This Row],[v2elsnlfc_nr]:[v2elsnmrfc_nr]])</f>
        <v>3</v>
      </c>
      <c r="D42">
        <f>Table1[[#This Row],[v2el_avg]]-Table1[[#This Row],[v2elsn_avg]]</f>
        <v>1.5</v>
      </c>
      <c r="E42">
        <f>AVERAGE(Table13[[#This Row],[v2cltort_nr]:[v2clprptyw_nr]])</f>
        <v>5</v>
      </c>
      <c r="F42">
        <f>AVERAGE(Table13[[#This Row],[v2clrgstch_nr]:[v2clrgwkch_nr]])</f>
        <v>3</v>
      </c>
      <c r="G42">
        <f>Table13[[#This Row],[v2cl_avg]]-Table13[[#This Row],[v2clsn_avg]]</f>
        <v>2</v>
      </c>
      <c r="H42" s="4">
        <f>MAX(Table1[[#This Row],[v2eldonate_nr]:[v2elsnmrfc_nr]])</f>
        <v>7</v>
      </c>
      <c r="I42" s="4">
        <f>MAX(Table13[[#This Row],[v2cltort_nr]:[v2clrgwkch_nr]])</f>
        <v>5</v>
      </c>
      <c r="J42" s="4">
        <f>MAX(Table13[[#This Row],[v2clrgstch_nr]:[v2clrgwkch_nr]])</f>
        <v>3</v>
      </c>
      <c r="K42" s="4">
        <f>MAX(Table1[[#This Row],[v2elsnlfc_nr]:[v2elsnmrfc_nr]])</f>
        <v>3</v>
      </c>
    </row>
    <row r="43" spans="1:11" x14ac:dyDescent="0.35">
      <c r="A43" s="2">
        <v>1941</v>
      </c>
      <c r="B43">
        <f>AVERAGE(Table1[[#This Row],[v2eldonate_nr]:[v2elffelrbin_nr]])</f>
        <v>6</v>
      </c>
      <c r="C43">
        <f>AVERAGE(Table1[[#This Row],[v2elsnlfc_nr]:[v2elsnmrfc_nr]])</f>
        <v>3</v>
      </c>
      <c r="D43">
        <f>Table1[[#This Row],[v2el_avg]]-Table1[[#This Row],[v2elsn_avg]]</f>
        <v>3</v>
      </c>
      <c r="E43">
        <f>AVERAGE(Table13[[#This Row],[v2cltort_nr]:[v2clprptyw_nr]])</f>
        <v>5</v>
      </c>
      <c r="F43">
        <f>AVERAGE(Table13[[#This Row],[v2clrgstch_nr]:[v2clrgwkch_nr]])</f>
        <v>3</v>
      </c>
      <c r="G43">
        <f>Table13[[#This Row],[v2cl_avg]]-Table13[[#This Row],[v2clsn_avg]]</f>
        <v>2</v>
      </c>
      <c r="H43" s="4">
        <f>MAX(Table1[[#This Row],[v2eldonate_nr]:[v2elsnmrfc_nr]])</f>
        <v>7</v>
      </c>
      <c r="I43" s="4">
        <f>MAX(Table13[[#This Row],[v2cltort_nr]:[v2clrgwkch_nr]])</f>
        <v>5</v>
      </c>
      <c r="J43" s="4">
        <f>MAX(Table13[[#This Row],[v2clrgstch_nr]:[v2clrgwkch_nr]])</f>
        <v>3</v>
      </c>
      <c r="K43" s="4">
        <f>MAX(Table1[[#This Row],[v2elsnlfc_nr]:[v2elsnmrfc_nr]])</f>
        <v>3</v>
      </c>
    </row>
    <row r="44" spans="1:11" x14ac:dyDescent="0.35">
      <c r="A44" s="1">
        <v>1942</v>
      </c>
      <c r="B44">
        <f>AVERAGE(Table1[[#This Row],[v2eldonate_nr]:[v2elffelrbin_nr]])</f>
        <v>5.9047619047619051</v>
      </c>
      <c r="C44">
        <f>AVERAGE(Table1[[#This Row],[v2elsnlfc_nr]:[v2elsnmrfc_nr]])</f>
        <v>3</v>
      </c>
      <c r="D44">
        <f>Table1[[#This Row],[v2el_avg]]-Table1[[#This Row],[v2elsn_avg]]</f>
        <v>2.9047619047619051</v>
      </c>
      <c r="E44">
        <f>AVERAGE(Table13[[#This Row],[v2cltort_nr]:[v2clprptyw_nr]])</f>
        <v>5</v>
      </c>
      <c r="F44">
        <f>AVERAGE(Table13[[#This Row],[v2clrgstch_nr]:[v2clrgwkch_nr]])</f>
        <v>3</v>
      </c>
      <c r="G44">
        <f>Table13[[#This Row],[v2cl_avg]]-Table13[[#This Row],[v2clsn_avg]]</f>
        <v>2</v>
      </c>
      <c r="H44" s="4">
        <f>MAX(Table1[[#This Row],[v2eldonate_nr]:[v2elsnmrfc_nr]])</f>
        <v>7</v>
      </c>
      <c r="I44" s="4">
        <f>MAX(Table13[[#This Row],[v2cltort_nr]:[v2clrgwkch_nr]])</f>
        <v>5</v>
      </c>
      <c r="J44" s="4">
        <f>MAX(Table13[[#This Row],[v2clrgstch_nr]:[v2clrgwkch_nr]])</f>
        <v>3</v>
      </c>
      <c r="K44" s="4">
        <f>MAX(Table1[[#This Row],[v2elsnlfc_nr]:[v2elsnmrfc_nr]])</f>
        <v>3</v>
      </c>
    </row>
    <row r="45" spans="1:11" x14ac:dyDescent="0.35">
      <c r="A45" s="2">
        <v>1943</v>
      </c>
      <c r="B45">
        <f>AVERAGE(Table1[[#This Row],[v2eldonate_nr]:[v2elffelrbin_nr]])</f>
        <v>5.0476190476190474</v>
      </c>
      <c r="C45">
        <f>AVERAGE(Table1[[#This Row],[v2elsnlfc_nr]:[v2elsnmrfc_nr]])</f>
        <v>3</v>
      </c>
      <c r="D45">
        <f>Table1[[#This Row],[v2el_avg]]-Table1[[#This Row],[v2elsn_avg]]</f>
        <v>2.0476190476190474</v>
      </c>
      <c r="E45">
        <f>AVERAGE(Table13[[#This Row],[v2cltort_nr]:[v2clprptyw_nr]])</f>
        <v>5</v>
      </c>
      <c r="F45">
        <f>AVERAGE(Table13[[#This Row],[v2clrgstch_nr]:[v2clrgwkch_nr]])</f>
        <v>3</v>
      </c>
      <c r="G45">
        <f>Table13[[#This Row],[v2cl_avg]]-Table13[[#This Row],[v2clsn_avg]]</f>
        <v>2</v>
      </c>
      <c r="H45" s="4">
        <f>MAX(Table1[[#This Row],[v2eldonate_nr]:[v2elsnmrfc_nr]])</f>
        <v>7</v>
      </c>
      <c r="I45" s="4">
        <f>MAX(Table13[[#This Row],[v2cltort_nr]:[v2clrgwkch_nr]])</f>
        <v>5</v>
      </c>
      <c r="J45" s="4">
        <f>MAX(Table13[[#This Row],[v2clrgstch_nr]:[v2clrgwkch_nr]])</f>
        <v>3</v>
      </c>
      <c r="K45" s="4">
        <f>MAX(Table1[[#This Row],[v2elsnlfc_nr]:[v2elsnmrfc_nr]])</f>
        <v>3</v>
      </c>
    </row>
    <row r="46" spans="1:11" x14ac:dyDescent="0.35">
      <c r="A46" s="1">
        <v>1944</v>
      </c>
      <c r="B46">
        <f>AVERAGE(Table1[[#This Row],[v2eldonate_nr]:[v2elffelrbin_nr]])</f>
        <v>4.5</v>
      </c>
      <c r="C46">
        <f>AVERAGE(Table1[[#This Row],[v2elsnlfc_nr]:[v2elsnmrfc_nr]])</f>
        <v>3</v>
      </c>
      <c r="D46">
        <f>Table1[[#This Row],[v2el_avg]]-Table1[[#This Row],[v2elsn_avg]]</f>
        <v>1.5</v>
      </c>
      <c r="E46">
        <f>AVERAGE(Table13[[#This Row],[v2cltort_nr]:[v2clprptyw_nr]])</f>
        <v>5</v>
      </c>
      <c r="F46">
        <f>AVERAGE(Table13[[#This Row],[v2clrgstch_nr]:[v2clrgwkch_nr]])</f>
        <v>3</v>
      </c>
      <c r="G46">
        <f>Table13[[#This Row],[v2cl_avg]]-Table13[[#This Row],[v2clsn_avg]]</f>
        <v>2</v>
      </c>
      <c r="H46" s="4">
        <f>MAX(Table1[[#This Row],[v2eldonate_nr]:[v2elsnmrfc_nr]])</f>
        <v>7</v>
      </c>
      <c r="I46" s="4">
        <f>MAX(Table13[[#This Row],[v2cltort_nr]:[v2clrgwkch_nr]])</f>
        <v>5</v>
      </c>
      <c r="J46" s="4">
        <f>MAX(Table13[[#This Row],[v2clrgstch_nr]:[v2clrgwkch_nr]])</f>
        <v>3</v>
      </c>
      <c r="K46" s="4">
        <f>MAX(Table1[[#This Row],[v2elsnlfc_nr]:[v2elsnmrfc_nr]])</f>
        <v>3</v>
      </c>
    </row>
    <row r="47" spans="1:11" x14ac:dyDescent="0.35">
      <c r="A47" s="2">
        <v>1945</v>
      </c>
      <c r="B47">
        <f>AVERAGE(Table1[[#This Row],[v2eldonate_nr]:[v2elffelrbin_nr]])</f>
        <v>5.8095238095238093</v>
      </c>
      <c r="C47">
        <f>AVERAGE(Table1[[#This Row],[v2elsnlfc_nr]:[v2elsnmrfc_nr]])</f>
        <v>3</v>
      </c>
      <c r="D47">
        <f>Table1[[#This Row],[v2el_avg]]-Table1[[#This Row],[v2elsn_avg]]</f>
        <v>2.8095238095238093</v>
      </c>
      <c r="E47">
        <f>AVERAGE(Table13[[#This Row],[v2cltort_nr]:[v2clprptyw_nr]])</f>
        <v>5</v>
      </c>
      <c r="F47">
        <f>AVERAGE(Table13[[#This Row],[v2clrgstch_nr]:[v2clrgwkch_nr]])</f>
        <v>3</v>
      </c>
      <c r="G47">
        <f>Table13[[#This Row],[v2cl_avg]]-Table13[[#This Row],[v2clsn_avg]]</f>
        <v>2</v>
      </c>
      <c r="H47" s="4">
        <f>MAX(Table1[[#This Row],[v2eldonate_nr]:[v2elsnmrfc_nr]])</f>
        <v>7</v>
      </c>
      <c r="I47" s="4">
        <f>MAX(Table13[[#This Row],[v2cltort_nr]:[v2clrgwkch_nr]])</f>
        <v>5</v>
      </c>
      <c r="J47" s="4">
        <f>MAX(Table13[[#This Row],[v2clrgstch_nr]:[v2clrgwkch_nr]])</f>
        <v>3</v>
      </c>
      <c r="K47" s="4">
        <f>MAX(Table1[[#This Row],[v2elsnlfc_nr]:[v2elsnmrfc_nr]])</f>
        <v>3</v>
      </c>
    </row>
    <row r="48" spans="1:11" x14ac:dyDescent="0.35">
      <c r="A48" s="1">
        <v>1946</v>
      </c>
      <c r="B48">
        <f>AVERAGE(Table1[[#This Row],[v2eldonate_nr]:[v2elffelrbin_nr]])</f>
        <v>5.9523809523809526</v>
      </c>
      <c r="C48">
        <f>AVERAGE(Table1[[#This Row],[v2elsnlfc_nr]:[v2elsnmrfc_nr]])</f>
        <v>3</v>
      </c>
      <c r="D48">
        <f>Table1[[#This Row],[v2el_avg]]-Table1[[#This Row],[v2elsn_avg]]</f>
        <v>2.9523809523809526</v>
      </c>
      <c r="E48">
        <f>AVERAGE(Table13[[#This Row],[v2cltort_nr]:[v2clprptyw_nr]])</f>
        <v>5</v>
      </c>
      <c r="F48">
        <f>AVERAGE(Table13[[#This Row],[v2clrgstch_nr]:[v2clrgwkch_nr]])</f>
        <v>3</v>
      </c>
      <c r="G48">
        <f>Table13[[#This Row],[v2cl_avg]]-Table13[[#This Row],[v2clsn_avg]]</f>
        <v>2</v>
      </c>
      <c r="H48" s="4">
        <f>MAX(Table1[[#This Row],[v2eldonate_nr]:[v2elsnmrfc_nr]])</f>
        <v>7</v>
      </c>
      <c r="I48" s="4">
        <f>MAX(Table13[[#This Row],[v2cltort_nr]:[v2clrgwkch_nr]])</f>
        <v>5</v>
      </c>
      <c r="J48" s="4">
        <f>MAX(Table13[[#This Row],[v2clrgstch_nr]:[v2clrgwkch_nr]])</f>
        <v>3</v>
      </c>
      <c r="K48" s="4">
        <f>MAX(Table1[[#This Row],[v2elsnlfc_nr]:[v2elsnmrfc_nr]])</f>
        <v>3</v>
      </c>
    </row>
    <row r="49" spans="1:11" x14ac:dyDescent="0.35">
      <c r="A49" s="2">
        <v>1947</v>
      </c>
      <c r="B49">
        <f>AVERAGE(Table1[[#This Row],[v2eldonate_nr]:[v2elffelrbin_nr]])</f>
        <v>6.0476190476190474</v>
      </c>
      <c r="C49">
        <f>AVERAGE(Table1[[#This Row],[v2elsnlfc_nr]:[v2elsnmrfc_nr]])</f>
        <v>2.5</v>
      </c>
      <c r="D49">
        <f>Table1[[#This Row],[v2el_avg]]-Table1[[#This Row],[v2elsn_avg]]</f>
        <v>3.5476190476190474</v>
      </c>
      <c r="E49">
        <f>AVERAGE(Table13[[#This Row],[v2cltort_nr]:[v2clprptyw_nr]])</f>
        <v>5</v>
      </c>
      <c r="F49">
        <f>AVERAGE(Table13[[#This Row],[v2clrgstch_nr]:[v2clrgwkch_nr]])</f>
        <v>3</v>
      </c>
      <c r="G49">
        <f>Table13[[#This Row],[v2cl_avg]]-Table13[[#This Row],[v2clsn_avg]]</f>
        <v>2</v>
      </c>
      <c r="H49" s="4">
        <f>MAX(Table1[[#This Row],[v2eldonate_nr]:[v2elsnmrfc_nr]])</f>
        <v>7</v>
      </c>
      <c r="I49" s="4">
        <f>MAX(Table13[[#This Row],[v2cltort_nr]:[v2clrgwkch_nr]])</f>
        <v>5</v>
      </c>
      <c r="J49" s="4">
        <f>MAX(Table13[[#This Row],[v2clrgstch_nr]:[v2clrgwkch_nr]])</f>
        <v>3</v>
      </c>
      <c r="K49" s="4">
        <f>MAX(Table1[[#This Row],[v2elsnlfc_nr]:[v2elsnmrfc_nr]])</f>
        <v>3</v>
      </c>
    </row>
    <row r="50" spans="1:11" x14ac:dyDescent="0.35">
      <c r="A50" s="1">
        <v>1948</v>
      </c>
      <c r="B50">
        <f>AVERAGE(Table1[[#This Row],[v2eldonate_nr]:[v2elffelrbin_nr]])</f>
        <v>4.625</v>
      </c>
      <c r="C50">
        <f>AVERAGE(Table1[[#This Row],[v2elsnlfc_nr]:[v2elsnmrfc_nr]])</f>
        <v>2.5</v>
      </c>
      <c r="D50">
        <f>Table1[[#This Row],[v2el_avg]]-Table1[[#This Row],[v2elsn_avg]]</f>
        <v>2.125</v>
      </c>
      <c r="E50">
        <f>AVERAGE(Table13[[#This Row],[v2cltort_nr]:[v2clprptyw_nr]])</f>
        <v>5</v>
      </c>
      <c r="F50">
        <f>AVERAGE(Table13[[#This Row],[v2clrgstch_nr]:[v2clrgwkch_nr]])</f>
        <v>3</v>
      </c>
      <c r="G50">
        <f>Table13[[#This Row],[v2cl_avg]]-Table13[[#This Row],[v2clsn_avg]]</f>
        <v>2</v>
      </c>
      <c r="H50" s="4">
        <f>MAX(Table1[[#This Row],[v2eldonate_nr]:[v2elsnmrfc_nr]])</f>
        <v>7</v>
      </c>
      <c r="I50" s="4">
        <f>MAX(Table13[[#This Row],[v2cltort_nr]:[v2clrgwkch_nr]])</f>
        <v>5</v>
      </c>
      <c r="J50" s="4">
        <f>MAX(Table13[[#This Row],[v2clrgstch_nr]:[v2clrgwkch_nr]])</f>
        <v>3</v>
      </c>
      <c r="K50" s="4">
        <f>MAX(Table1[[#This Row],[v2elsnlfc_nr]:[v2elsnmrfc_nr]])</f>
        <v>3</v>
      </c>
    </row>
    <row r="51" spans="1:11" x14ac:dyDescent="0.35">
      <c r="A51" s="2">
        <v>1949</v>
      </c>
      <c r="B51">
        <f>AVERAGE(Table1[[#This Row],[v2eldonate_nr]:[v2elffelrbin_nr]])</f>
        <v>6.0952380952380949</v>
      </c>
      <c r="C51">
        <f>AVERAGE(Table1[[#This Row],[v2elsnlfc_nr]:[v2elsnmrfc_nr]])</f>
        <v>2.5</v>
      </c>
      <c r="D51">
        <f>Table1[[#This Row],[v2el_avg]]-Table1[[#This Row],[v2elsn_avg]]</f>
        <v>3.5952380952380949</v>
      </c>
      <c r="E51">
        <f>AVERAGE(Table13[[#This Row],[v2cltort_nr]:[v2clprptyw_nr]])</f>
        <v>5</v>
      </c>
      <c r="F51">
        <f>AVERAGE(Table13[[#This Row],[v2clrgstch_nr]:[v2clrgwkch_nr]])</f>
        <v>3</v>
      </c>
      <c r="G51">
        <f>Table13[[#This Row],[v2cl_avg]]-Table13[[#This Row],[v2clsn_avg]]</f>
        <v>2</v>
      </c>
      <c r="H51" s="4">
        <f>MAX(Table1[[#This Row],[v2eldonate_nr]:[v2elsnmrfc_nr]])</f>
        <v>7</v>
      </c>
      <c r="I51" s="4">
        <f>MAX(Table13[[#This Row],[v2cltort_nr]:[v2clrgwkch_nr]])</f>
        <v>5</v>
      </c>
      <c r="J51" s="4">
        <f>MAX(Table13[[#This Row],[v2clrgstch_nr]:[v2clrgwkch_nr]])</f>
        <v>3</v>
      </c>
      <c r="K51" s="4">
        <f>MAX(Table1[[#This Row],[v2elsnlfc_nr]:[v2elsnmrfc_nr]])</f>
        <v>3</v>
      </c>
    </row>
    <row r="52" spans="1:11" x14ac:dyDescent="0.35">
      <c r="A52" s="1">
        <v>1950</v>
      </c>
      <c r="B52">
        <f>AVERAGE(Table1[[#This Row],[v2eldonate_nr]:[v2elffelrbin_nr]])</f>
        <v>4.625</v>
      </c>
      <c r="C52">
        <f>AVERAGE(Table1[[#This Row],[v2elsnlfc_nr]:[v2elsnmrfc_nr]])</f>
        <v>2.5</v>
      </c>
      <c r="D52">
        <f>Table1[[#This Row],[v2el_avg]]-Table1[[#This Row],[v2elsn_avg]]</f>
        <v>2.125</v>
      </c>
      <c r="E52">
        <f>AVERAGE(Table13[[#This Row],[v2cltort_nr]:[v2clprptyw_nr]])</f>
        <v>5</v>
      </c>
      <c r="F52">
        <f>AVERAGE(Table13[[#This Row],[v2clrgstch_nr]:[v2clrgwkch_nr]])</f>
        <v>3</v>
      </c>
      <c r="G52">
        <f>Table13[[#This Row],[v2cl_avg]]-Table13[[#This Row],[v2clsn_avg]]</f>
        <v>2</v>
      </c>
      <c r="H52" s="4">
        <f>MAX(Table1[[#This Row],[v2eldonate_nr]:[v2elsnmrfc_nr]])</f>
        <v>7</v>
      </c>
      <c r="I52" s="4">
        <f>MAX(Table13[[#This Row],[v2cltort_nr]:[v2clrgwkch_nr]])</f>
        <v>5</v>
      </c>
      <c r="J52" s="4">
        <f>MAX(Table13[[#This Row],[v2clrgstch_nr]:[v2clrgwkch_nr]])</f>
        <v>3</v>
      </c>
      <c r="K52" s="4">
        <f>MAX(Table1[[#This Row],[v2elsnlfc_nr]:[v2elsnmrfc_nr]])</f>
        <v>3</v>
      </c>
    </row>
    <row r="53" spans="1:11" x14ac:dyDescent="0.35">
      <c r="A53" s="2">
        <v>1951</v>
      </c>
      <c r="B53">
        <f>AVERAGE(Table1[[#This Row],[v2eldonate_nr]:[v2elffelrbin_nr]])</f>
        <v>5.8571428571428568</v>
      </c>
      <c r="C53">
        <f>AVERAGE(Table1[[#This Row],[v2elsnlfc_nr]:[v2elsnmrfc_nr]])</f>
        <v>2.5</v>
      </c>
      <c r="D53">
        <f>Table1[[#This Row],[v2el_avg]]-Table1[[#This Row],[v2elsn_avg]]</f>
        <v>3.3571428571428568</v>
      </c>
      <c r="E53">
        <f>AVERAGE(Table13[[#This Row],[v2cltort_nr]:[v2clprptyw_nr]])</f>
        <v>5</v>
      </c>
      <c r="F53">
        <f>AVERAGE(Table13[[#This Row],[v2clrgstch_nr]:[v2clrgwkch_nr]])</f>
        <v>3</v>
      </c>
      <c r="G53">
        <f>Table13[[#This Row],[v2cl_avg]]-Table13[[#This Row],[v2clsn_avg]]</f>
        <v>2</v>
      </c>
      <c r="H53" s="4">
        <f>MAX(Table1[[#This Row],[v2eldonate_nr]:[v2elsnmrfc_nr]])</f>
        <v>7</v>
      </c>
      <c r="I53" s="4">
        <f>MAX(Table13[[#This Row],[v2cltort_nr]:[v2clrgwkch_nr]])</f>
        <v>5</v>
      </c>
      <c r="J53" s="4">
        <f>MAX(Table13[[#This Row],[v2clrgstch_nr]:[v2clrgwkch_nr]])</f>
        <v>3</v>
      </c>
      <c r="K53" s="4">
        <f>MAX(Table1[[#This Row],[v2elsnlfc_nr]:[v2elsnmrfc_nr]])</f>
        <v>3</v>
      </c>
    </row>
    <row r="54" spans="1:11" x14ac:dyDescent="0.35">
      <c r="A54" s="1">
        <v>1952</v>
      </c>
      <c r="B54">
        <f>AVERAGE(Table1[[#This Row],[v2eldonate_nr]:[v2elffelrbin_nr]])</f>
        <v>4.625</v>
      </c>
      <c r="C54">
        <f>AVERAGE(Table1[[#This Row],[v2elsnlfc_nr]:[v2elsnmrfc_nr]])</f>
        <v>2.5</v>
      </c>
      <c r="D54">
        <f>Table1[[#This Row],[v2el_avg]]-Table1[[#This Row],[v2elsn_avg]]</f>
        <v>2.125</v>
      </c>
      <c r="E54">
        <f>AVERAGE(Table13[[#This Row],[v2cltort_nr]:[v2clprptyw_nr]])</f>
        <v>5</v>
      </c>
      <c r="F54">
        <f>AVERAGE(Table13[[#This Row],[v2clrgstch_nr]:[v2clrgwkch_nr]])</f>
        <v>3</v>
      </c>
      <c r="G54">
        <f>Table13[[#This Row],[v2cl_avg]]-Table13[[#This Row],[v2clsn_avg]]</f>
        <v>2</v>
      </c>
      <c r="H54" s="4">
        <f>MAX(Table1[[#This Row],[v2eldonate_nr]:[v2elsnmrfc_nr]])</f>
        <v>7</v>
      </c>
      <c r="I54" s="4">
        <f>MAX(Table13[[#This Row],[v2cltort_nr]:[v2clrgwkch_nr]])</f>
        <v>5</v>
      </c>
      <c r="J54" s="4">
        <f>MAX(Table13[[#This Row],[v2clrgstch_nr]:[v2clrgwkch_nr]])</f>
        <v>3</v>
      </c>
      <c r="K54" s="4">
        <f>MAX(Table1[[#This Row],[v2elsnlfc_nr]:[v2elsnmrfc_nr]])</f>
        <v>3</v>
      </c>
    </row>
    <row r="55" spans="1:11" x14ac:dyDescent="0.35">
      <c r="A55" s="2">
        <v>1953</v>
      </c>
      <c r="B55">
        <f>AVERAGE(Table1[[#This Row],[v2eldonate_nr]:[v2elffelrbin_nr]])</f>
        <v>6</v>
      </c>
      <c r="C55">
        <f>AVERAGE(Table1[[#This Row],[v2elsnlfc_nr]:[v2elsnmrfc_nr]])</f>
        <v>2.5</v>
      </c>
      <c r="D55">
        <f>Table1[[#This Row],[v2el_avg]]-Table1[[#This Row],[v2elsn_avg]]</f>
        <v>3.5</v>
      </c>
      <c r="E55">
        <f>AVERAGE(Table13[[#This Row],[v2cltort_nr]:[v2clprptyw_nr]])</f>
        <v>5</v>
      </c>
      <c r="F55">
        <f>AVERAGE(Table13[[#This Row],[v2clrgstch_nr]:[v2clrgwkch_nr]])</f>
        <v>3</v>
      </c>
      <c r="G55">
        <f>Table13[[#This Row],[v2cl_avg]]-Table13[[#This Row],[v2clsn_avg]]</f>
        <v>2</v>
      </c>
      <c r="H55" s="4">
        <f>MAX(Table1[[#This Row],[v2eldonate_nr]:[v2elsnmrfc_nr]])</f>
        <v>7</v>
      </c>
      <c r="I55" s="4">
        <f>MAX(Table13[[#This Row],[v2cltort_nr]:[v2clrgwkch_nr]])</f>
        <v>5</v>
      </c>
      <c r="J55" s="4">
        <f>MAX(Table13[[#This Row],[v2clrgstch_nr]:[v2clrgwkch_nr]])</f>
        <v>3</v>
      </c>
      <c r="K55" s="4">
        <f>MAX(Table1[[#This Row],[v2elsnlfc_nr]:[v2elsnmrfc_nr]])</f>
        <v>3</v>
      </c>
    </row>
    <row r="56" spans="1:11" x14ac:dyDescent="0.35">
      <c r="A56" s="1">
        <v>1954</v>
      </c>
      <c r="B56">
        <f>AVERAGE(Table1[[#This Row],[v2eldonate_nr]:[v2elffelrbin_nr]])</f>
        <v>4.625</v>
      </c>
      <c r="C56">
        <f>AVERAGE(Table1[[#This Row],[v2elsnlfc_nr]:[v2elsnmrfc_nr]])</f>
        <v>2.5</v>
      </c>
      <c r="D56">
        <f>Table1[[#This Row],[v2el_avg]]-Table1[[#This Row],[v2elsn_avg]]</f>
        <v>2.125</v>
      </c>
      <c r="E56">
        <f>AVERAGE(Table13[[#This Row],[v2cltort_nr]:[v2clprptyw_nr]])</f>
        <v>5</v>
      </c>
      <c r="F56">
        <f>AVERAGE(Table13[[#This Row],[v2clrgstch_nr]:[v2clrgwkch_nr]])</f>
        <v>3</v>
      </c>
      <c r="G56">
        <f>Table13[[#This Row],[v2cl_avg]]-Table13[[#This Row],[v2clsn_avg]]</f>
        <v>2</v>
      </c>
      <c r="H56" s="4">
        <f>MAX(Table1[[#This Row],[v2eldonate_nr]:[v2elsnmrfc_nr]])</f>
        <v>7</v>
      </c>
      <c r="I56" s="4">
        <f>MAX(Table13[[#This Row],[v2cltort_nr]:[v2clrgwkch_nr]])</f>
        <v>5</v>
      </c>
      <c r="J56" s="4">
        <f>MAX(Table13[[#This Row],[v2clrgstch_nr]:[v2clrgwkch_nr]])</f>
        <v>3</v>
      </c>
      <c r="K56" s="4">
        <f>MAX(Table1[[#This Row],[v2elsnlfc_nr]:[v2elsnmrfc_nr]])</f>
        <v>3</v>
      </c>
    </row>
    <row r="57" spans="1:11" x14ac:dyDescent="0.35">
      <c r="A57" s="2">
        <v>1955</v>
      </c>
      <c r="B57">
        <f>AVERAGE(Table1[[#This Row],[v2eldonate_nr]:[v2elffelrbin_nr]])</f>
        <v>4.625</v>
      </c>
      <c r="C57">
        <f>AVERAGE(Table1[[#This Row],[v2elsnlfc_nr]:[v2elsnmrfc_nr]])</f>
        <v>2.5</v>
      </c>
      <c r="D57">
        <f>Table1[[#This Row],[v2el_avg]]-Table1[[#This Row],[v2elsn_avg]]</f>
        <v>2.125</v>
      </c>
      <c r="E57">
        <f>AVERAGE(Table13[[#This Row],[v2cltort_nr]:[v2clprptyw_nr]])</f>
        <v>5</v>
      </c>
      <c r="F57">
        <f>AVERAGE(Table13[[#This Row],[v2clrgstch_nr]:[v2clrgwkch_nr]])</f>
        <v>3</v>
      </c>
      <c r="G57">
        <f>Table13[[#This Row],[v2cl_avg]]-Table13[[#This Row],[v2clsn_avg]]</f>
        <v>2</v>
      </c>
      <c r="H57" s="4">
        <f>MAX(Table1[[#This Row],[v2eldonate_nr]:[v2elsnmrfc_nr]])</f>
        <v>7</v>
      </c>
      <c r="I57" s="4">
        <f>MAX(Table13[[#This Row],[v2cltort_nr]:[v2clrgwkch_nr]])</f>
        <v>5</v>
      </c>
      <c r="J57" s="4">
        <f>MAX(Table13[[#This Row],[v2clrgstch_nr]:[v2clrgwkch_nr]])</f>
        <v>3</v>
      </c>
      <c r="K57" s="4">
        <f>MAX(Table1[[#This Row],[v2elsnlfc_nr]:[v2elsnmrfc_nr]])</f>
        <v>3</v>
      </c>
    </row>
    <row r="58" spans="1:11" x14ac:dyDescent="0.35">
      <c r="A58" s="1">
        <v>1956</v>
      </c>
      <c r="B58">
        <f>AVERAGE(Table1[[#This Row],[v2eldonate_nr]:[v2elffelrbin_nr]])</f>
        <v>4.625</v>
      </c>
      <c r="C58">
        <f>AVERAGE(Table1[[#This Row],[v2elsnlfc_nr]:[v2elsnmrfc_nr]])</f>
        <v>2.5</v>
      </c>
      <c r="D58">
        <f>Table1[[#This Row],[v2el_avg]]-Table1[[#This Row],[v2elsn_avg]]</f>
        <v>2.125</v>
      </c>
      <c r="E58">
        <f>AVERAGE(Table13[[#This Row],[v2cltort_nr]:[v2clprptyw_nr]])</f>
        <v>5</v>
      </c>
      <c r="F58">
        <f>AVERAGE(Table13[[#This Row],[v2clrgstch_nr]:[v2clrgwkch_nr]])</f>
        <v>3</v>
      </c>
      <c r="G58">
        <f>Table13[[#This Row],[v2cl_avg]]-Table13[[#This Row],[v2clsn_avg]]</f>
        <v>2</v>
      </c>
      <c r="H58" s="4">
        <f>MAX(Table1[[#This Row],[v2eldonate_nr]:[v2elsnmrfc_nr]])</f>
        <v>7</v>
      </c>
      <c r="I58" s="4">
        <f>MAX(Table13[[#This Row],[v2cltort_nr]:[v2clrgwkch_nr]])</f>
        <v>5</v>
      </c>
      <c r="J58" s="4">
        <f>MAX(Table13[[#This Row],[v2clrgstch_nr]:[v2clrgwkch_nr]])</f>
        <v>3</v>
      </c>
      <c r="K58" s="4">
        <f>MAX(Table1[[#This Row],[v2elsnlfc_nr]:[v2elsnmrfc_nr]])</f>
        <v>3</v>
      </c>
    </row>
    <row r="59" spans="1:11" x14ac:dyDescent="0.35">
      <c r="A59" s="2">
        <v>1957</v>
      </c>
      <c r="B59">
        <f>AVERAGE(Table1[[#This Row],[v2eldonate_nr]:[v2elffelrbin_nr]])</f>
        <v>4.625</v>
      </c>
      <c r="C59">
        <f>AVERAGE(Table1[[#This Row],[v2elsnlfc_nr]:[v2elsnmrfc_nr]])</f>
        <v>2.5</v>
      </c>
      <c r="D59">
        <f>Table1[[#This Row],[v2el_avg]]-Table1[[#This Row],[v2elsn_avg]]</f>
        <v>2.125</v>
      </c>
      <c r="E59">
        <f>AVERAGE(Table13[[#This Row],[v2cltort_nr]:[v2clprptyw_nr]])</f>
        <v>4.9545454545454541</v>
      </c>
      <c r="F59">
        <f>AVERAGE(Table13[[#This Row],[v2clrgstch_nr]:[v2clrgwkch_nr]])</f>
        <v>3</v>
      </c>
      <c r="G59">
        <f>Table13[[#This Row],[v2cl_avg]]-Table13[[#This Row],[v2clsn_avg]]</f>
        <v>1.9545454545454541</v>
      </c>
      <c r="H59" s="4">
        <f>MAX(Table1[[#This Row],[v2eldonate_nr]:[v2elsnmrfc_nr]])</f>
        <v>7</v>
      </c>
      <c r="I59" s="4">
        <f>MAX(Table13[[#This Row],[v2cltort_nr]:[v2clrgwkch_nr]])</f>
        <v>5</v>
      </c>
      <c r="J59" s="4">
        <f>MAX(Table13[[#This Row],[v2clrgstch_nr]:[v2clrgwkch_nr]])</f>
        <v>3</v>
      </c>
      <c r="K59" s="4">
        <f>MAX(Table1[[#This Row],[v2elsnlfc_nr]:[v2elsnmrfc_nr]])</f>
        <v>3</v>
      </c>
    </row>
    <row r="60" spans="1:11" x14ac:dyDescent="0.35">
      <c r="A60" s="1">
        <v>1958</v>
      </c>
      <c r="B60">
        <f>AVERAGE(Table1[[#This Row],[v2eldonate_nr]:[v2elffelrbin_nr]])</f>
        <v>6.3809523809523814</v>
      </c>
      <c r="C60">
        <f>AVERAGE(Table1[[#This Row],[v2elsnlfc_nr]:[v2elsnmrfc_nr]])</f>
        <v>4</v>
      </c>
      <c r="D60">
        <f>Table1[[#This Row],[v2el_avg]]-Table1[[#This Row],[v2elsn_avg]]</f>
        <v>2.3809523809523814</v>
      </c>
      <c r="E60">
        <f>AVERAGE(Table13[[#This Row],[v2cltort_nr]:[v2clprptyw_nr]])</f>
        <v>5</v>
      </c>
      <c r="F60">
        <f>AVERAGE(Table13[[#This Row],[v2clrgstch_nr]:[v2clrgwkch_nr]])</f>
        <v>3</v>
      </c>
      <c r="G60">
        <f>Table13[[#This Row],[v2cl_avg]]-Table13[[#This Row],[v2clsn_avg]]</f>
        <v>2</v>
      </c>
      <c r="H60" s="4">
        <f>MAX(Table1[[#This Row],[v2eldonate_nr]:[v2elsnmrfc_nr]])</f>
        <v>7</v>
      </c>
      <c r="I60" s="4">
        <f>MAX(Table13[[#This Row],[v2cltort_nr]:[v2clrgwkch_nr]])</f>
        <v>5</v>
      </c>
      <c r="J60" s="4">
        <f>MAX(Table13[[#This Row],[v2clrgstch_nr]:[v2clrgwkch_nr]])</f>
        <v>3</v>
      </c>
      <c r="K60" s="4">
        <f>MAX(Table1[[#This Row],[v2elsnlfc_nr]:[v2elsnmrfc_nr]])</f>
        <v>4</v>
      </c>
    </row>
    <row r="61" spans="1:11" x14ac:dyDescent="0.35">
      <c r="A61" s="2">
        <v>1959</v>
      </c>
      <c r="B61">
        <f>AVERAGE(Table1[[#This Row],[v2eldonate_nr]:[v2elffelrbin_nr]])</f>
        <v>4.75</v>
      </c>
      <c r="C61">
        <f>AVERAGE(Table1[[#This Row],[v2elsnlfc_nr]:[v2elsnmrfc_nr]])</f>
        <v>3</v>
      </c>
      <c r="D61">
        <f>Table1[[#This Row],[v2el_avg]]-Table1[[#This Row],[v2elsn_avg]]</f>
        <v>1.75</v>
      </c>
      <c r="E61">
        <f>AVERAGE(Table13[[#This Row],[v2cltort_nr]:[v2clprptyw_nr]])</f>
        <v>5</v>
      </c>
      <c r="F61">
        <f>AVERAGE(Table13[[#This Row],[v2clrgstch_nr]:[v2clrgwkch_nr]])</f>
        <v>3</v>
      </c>
      <c r="G61">
        <f>Table13[[#This Row],[v2cl_avg]]-Table13[[#This Row],[v2clsn_avg]]</f>
        <v>2</v>
      </c>
      <c r="H61" s="4">
        <f>MAX(Table1[[#This Row],[v2eldonate_nr]:[v2elsnmrfc_nr]])</f>
        <v>7</v>
      </c>
      <c r="I61" s="4">
        <f>MAX(Table13[[#This Row],[v2cltort_nr]:[v2clrgwkch_nr]])</f>
        <v>5</v>
      </c>
      <c r="J61" s="4">
        <f>MAX(Table13[[#This Row],[v2clrgstch_nr]:[v2clrgwkch_nr]])</f>
        <v>3</v>
      </c>
      <c r="K61" s="4">
        <f>MAX(Table1[[#This Row],[v2elsnlfc_nr]:[v2elsnmrfc_nr]])</f>
        <v>3</v>
      </c>
    </row>
    <row r="62" spans="1:11" x14ac:dyDescent="0.35">
      <c r="A62" s="1">
        <v>1960</v>
      </c>
      <c r="B62">
        <f>AVERAGE(Table1[[#This Row],[v2eldonate_nr]:[v2elffelrbin_nr]])</f>
        <v>6.2857142857142856</v>
      </c>
      <c r="C62">
        <f>AVERAGE(Table1[[#This Row],[v2elsnlfc_nr]:[v2elsnmrfc_nr]])</f>
        <v>4</v>
      </c>
      <c r="D62">
        <f>Table1[[#This Row],[v2el_avg]]-Table1[[#This Row],[v2elsn_avg]]</f>
        <v>2.2857142857142856</v>
      </c>
      <c r="E62">
        <f>AVERAGE(Table13[[#This Row],[v2cltort_nr]:[v2clprptyw_nr]])</f>
        <v>5</v>
      </c>
      <c r="F62">
        <f>AVERAGE(Table13[[#This Row],[v2clrgstch_nr]:[v2clrgwkch_nr]])</f>
        <v>3</v>
      </c>
      <c r="G62">
        <f>Table13[[#This Row],[v2cl_avg]]-Table13[[#This Row],[v2clsn_avg]]</f>
        <v>2</v>
      </c>
      <c r="H62" s="4">
        <f>MAX(Table1[[#This Row],[v2eldonate_nr]:[v2elsnmrfc_nr]])</f>
        <v>7</v>
      </c>
      <c r="I62" s="4">
        <f>MAX(Table13[[#This Row],[v2cltort_nr]:[v2clrgwkch_nr]])</f>
        <v>5</v>
      </c>
      <c r="J62" s="4">
        <f>MAX(Table13[[#This Row],[v2clrgstch_nr]:[v2clrgwkch_nr]])</f>
        <v>3</v>
      </c>
      <c r="K62" s="4">
        <f>MAX(Table1[[#This Row],[v2elsnlfc_nr]:[v2elsnmrfc_nr]])</f>
        <v>4</v>
      </c>
    </row>
    <row r="63" spans="1:11" x14ac:dyDescent="0.35">
      <c r="A63" s="2">
        <v>1961</v>
      </c>
      <c r="B63">
        <f>AVERAGE(Table1[[#This Row],[v2eldonate_nr]:[v2elffelrbin_nr]])</f>
        <v>4.875</v>
      </c>
      <c r="C63">
        <f>AVERAGE(Table1[[#This Row],[v2elsnlfc_nr]:[v2elsnmrfc_nr]])</f>
        <v>4</v>
      </c>
      <c r="D63">
        <f>Table1[[#This Row],[v2el_avg]]-Table1[[#This Row],[v2elsn_avg]]</f>
        <v>0.875</v>
      </c>
      <c r="E63">
        <f>AVERAGE(Table13[[#This Row],[v2cltort_nr]:[v2clprptyw_nr]])</f>
        <v>5</v>
      </c>
      <c r="F63">
        <f>AVERAGE(Table13[[#This Row],[v2clrgstch_nr]:[v2clrgwkch_nr]])</f>
        <v>3</v>
      </c>
      <c r="G63">
        <f>Table13[[#This Row],[v2cl_avg]]-Table13[[#This Row],[v2clsn_avg]]</f>
        <v>2</v>
      </c>
      <c r="H63" s="4">
        <f>MAX(Table1[[#This Row],[v2eldonate_nr]:[v2elsnmrfc_nr]])</f>
        <v>7</v>
      </c>
      <c r="I63" s="4">
        <f>MAX(Table13[[#This Row],[v2cltort_nr]:[v2clrgwkch_nr]])</f>
        <v>5</v>
      </c>
      <c r="J63" s="4">
        <f>MAX(Table13[[#This Row],[v2clrgstch_nr]:[v2clrgwkch_nr]])</f>
        <v>3</v>
      </c>
      <c r="K63" s="4">
        <f>MAX(Table1[[#This Row],[v2elsnlfc_nr]:[v2elsnmrfc_nr]])</f>
        <v>4</v>
      </c>
    </row>
    <row r="64" spans="1:11" x14ac:dyDescent="0.35">
      <c r="A64" s="1">
        <v>1962</v>
      </c>
      <c r="B64">
        <f>AVERAGE(Table1[[#This Row],[v2eldonate_nr]:[v2elffelrbin_nr]])</f>
        <v>6.333333333333333</v>
      </c>
      <c r="C64">
        <f>AVERAGE(Table1[[#This Row],[v2elsnlfc_nr]:[v2elsnmrfc_nr]])</f>
        <v>4</v>
      </c>
      <c r="D64">
        <f>Table1[[#This Row],[v2el_avg]]-Table1[[#This Row],[v2elsn_avg]]</f>
        <v>2.333333333333333</v>
      </c>
      <c r="E64">
        <f>AVERAGE(Table13[[#This Row],[v2cltort_nr]:[v2clprptyw_nr]])</f>
        <v>5</v>
      </c>
      <c r="F64">
        <f>AVERAGE(Table13[[#This Row],[v2clrgstch_nr]:[v2clrgwkch_nr]])</f>
        <v>3</v>
      </c>
      <c r="G64">
        <f>Table13[[#This Row],[v2cl_avg]]-Table13[[#This Row],[v2clsn_avg]]</f>
        <v>2</v>
      </c>
      <c r="H64" s="4">
        <f>MAX(Table1[[#This Row],[v2eldonate_nr]:[v2elsnmrfc_nr]])</f>
        <v>7</v>
      </c>
      <c r="I64" s="4">
        <f>MAX(Table13[[#This Row],[v2cltort_nr]:[v2clrgwkch_nr]])</f>
        <v>5</v>
      </c>
      <c r="J64" s="4">
        <f>MAX(Table13[[#This Row],[v2clrgstch_nr]:[v2clrgwkch_nr]])</f>
        <v>3</v>
      </c>
      <c r="K64" s="4">
        <f>MAX(Table1[[#This Row],[v2elsnlfc_nr]:[v2elsnmrfc_nr]])</f>
        <v>4</v>
      </c>
    </row>
    <row r="65" spans="1:11" x14ac:dyDescent="0.35">
      <c r="A65" s="2">
        <v>1963</v>
      </c>
      <c r="B65">
        <f>AVERAGE(Table1[[#This Row],[v2eldonate_nr]:[v2elffelrbin_nr]])</f>
        <v>4.875</v>
      </c>
      <c r="C65">
        <f>AVERAGE(Table1[[#This Row],[v2elsnlfc_nr]:[v2elsnmrfc_nr]])</f>
        <v>4</v>
      </c>
      <c r="D65">
        <f>Table1[[#This Row],[v2el_avg]]-Table1[[#This Row],[v2elsn_avg]]</f>
        <v>0.875</v>
      </c>
      <c r="E65">
        <f>AVERAGE(Table13[[#This Row],[v2cltort_nr]:[v2clprptyw_nr]])</f>
        <v>5</v>
      </c>
      <c r="F65">
        <f>AVERAGE(Table13[[#This Row],[v2clrgstch_nr]:[v2clrgwkch_nr]])</f>
        <v>3</v>
      </c>
      <c r="G65">
        <f>Table13[[#This Row],[v2cl_avg]]-Table13[[#This Row],[v2clsn_avg]]</f>
        <v>2</v>
      </c>
      <c r="H65" s="4">
        <f>MAX(Table1[[#This Row],[v2eldonate_nr]:[v2elsnmrfc_nr]])</f>
        <v>7</v>
      </c>
      <c r="I65" s="4">
        <f>MAX(Table13[[#This Row],[v2cltort_nr]:[v2clrgwkch_nr]])</f>
        <v>5</v>
      </c>
      <c r="J65" s="4">
        <f>MAX(Table13[[#This Row],[v2clrgstch_nr]:[v2clrgwkch_nr]])</f>
        <v>3</v>
      </c>
      <c r="K65" s="4">
        <f>MAX(Table1[[#This Row],[v2elsnlfc_nr]:[v2elsnmrfc_nr]])</f>
        <v>4</v>
      </c>
    </row>
    <row r="66" spans="1:11" x14ac:dyDescent="0.35">
      <c r="A66" s="1">
        <v>1964</v>
      </c>
      <c r="B66">
        <f>AVERAGE(Table1[[#This Row],[v2eldonate_nr]:[v2elffelrbin_nr]])</f>
        <v>6.2857142857142856</v>
      </c>
      <c r="C66">
        <f>AVERAGE(Table1[[#This Row],[v2elsnlfc_nr]:[v2elsnmrfc_nr]])</f>
        <v>4</v>
      </c>
      <c r="D66">
        <f>Table1[[#This Row],[v2el_avg]]-Table1[[#This Row],[v2elsn_avg]]</f>
        <v>2.2857142857142856</v>
      </c>
      <c r="E66">
        <f>AVERAGE(Table13[[#This Row],[v2cltort_nr]:[v2clprptyw_nr]])</f>
        <v>5</v>
      </c>
      <c r="F66">
        <f>AVERAGE(Table13[[#This Row],[v2clrgstch_nr]:[v2clrgwkch_nr]])</f>
        <v>3</v>
      </c>
      <c r="G66">
        <f>Table13[[#This Row],[v2cl_avg]]-Table13[[#This Row],[v2clsn_avg]]</f>
        <v>2</v>
      </c>
      <c r="H66" s="4">
        <f>MAX(Table1[[#This Row],[v2eldonate_nr]:[v2elsnmrfc_nr]])</f>
        <v>7</v>
      </c>
      <c r="I66" s="4">
        <f>MAX(Table13[[#This Row],[v2cltort_nr]:[v2clrgwkch_nr]])</f>
        <v>5</v>
      </c>
      <c r="J66" s="4">
        <f>MAX(Table13[[#This Row],[v2clrgstch_nr]:[v2clrgwkch_nr]])</f>
        <v>3</v>
      </c>
      <c r="K66" s="4">
        <f>MAX(Table1[[#This Row],[v2elsnlfc_nr]:[v2elsnmrfc_nr]])</f>
        <v>4</v>
      </c>
    </row>
    <row r="67" spans="1:11" x14ac:dyDescent="0.35">
      <c r="A67" s="2">
        <v>1965</v>
      </c>
      <c r="B67">
        <f>AVERAGE(Table1[[#This Row],[v2eldonate_nr]:[v2elffelrbin_nr]])</f>
        <v>4.875</v>
      </c>
      <c r="C67">
        <f>AVERAGE(Table1[[#This Row],[v2elsnlfc_nr]:[v2elsnmrfc_nr]])</f>
        <v>4</v>
      </c>
      <c r="D67">
        <f>Table1[[#This Row],[v2el_avg]]-Table1[[#This Row],[v2elsn_avg]]</f>
        <v>0.875</v>
      </c>
      <c r="E67">
        <f>AVERAGE(Table13[[#This Row],[v2cltort_nr]:[v2clprptyw_nr]])</f>
        <v>5</v>
      </c>
      <c r="F67">
        <f>AVERAGE(Table13[[#This Row],[v2clrgstch_nr]:[v2clrgwkch_nr]])</f>
        <v>3</v>
      </c>
      <c r="G67">
        <f>Table13[[#This Row],[v2cl_avg]]-Table13[[#This Row],[v2clsn_avg]]</f>
        <v>2</v>
      </c>
      <c r="H67" s="4">
        <f>MAX(Table1[[#This Row],[v2eldonate_nr]:[v2elsnmrfc_nr]])</f>
        <v>7</v>
      </c>
      <c r="I67" s="4">
        <f>MAX(Table13[[#This Row],[v2cltort_nr]:[v2clrgwkch_nr]])</f>
        <v>5</v>
      </c>
      <c r="J67" s="4">
        <f>MAX(Table13[[#This Row],[v2clrgstch_nr]:[v2clrgwkch_nr]])</f>
        <v>3</v>
      </c>
      <c r="K67" s="4">
        <f>MAX(Table1[[#This Row],[v2elsnlfc_nr]:[v2elsnmrfc_nr]])</f>
        <v>4</v>
      </c>
    </row>
    <row r="68" spans="1:11" x14ac:dyDescent="0.35">
      <c r="A68" s="1">
        <v>1966</v>
      </c>
      <c r="B68">
        <f>AVERAGE(Table1[[#This Row],[v2eldonate_nr]:[v2elffelrbin_nr]])</f>
        <v>6.333333333333333</v>
      </c>
      <c r="C68">
        <f>AVERAGE(Table1[[#This Row],[v2elsnlfc_nr]:[v2elsnmrfc_nr]])</f>
        <v>4</v>
      </c>
      <c r="D68">
        <f>Table1[[#This Row],[v2el_avg]]-Table1[[#This Row],[v2elsn_avg]]</f>
        <v>2.333333333333333</v>
      </c>
      <c r="E68">
        <f>AVERAGE(Table13[[#This Row],[v2cltort_nr]:[v2clprptyw_nr]])</f>
        <v>5</v>
      </c>
      <c r="F68">
        <f>AVERAGE(Table13[[#This Row],[v2clrgstch_nr]:[v2clrgwkch_nr]])</f>
        <v>3</v>
      </c>
      <c r="G68">
        <f>Table13[[#This Row],[v2cl_avg]]-Table13[[#This Row],[v2clsn_avg]]</f>
        <v>2</v>
      </c>
      <c r="H68" s="4">
        <f>MAX(Table1[[#This Row],[v2eldonate_nr]:[v2elsnmrfc_nr]])</f>
        <v>7</v>
      </c>
      <c r="I68" s="4">
        <f>MAX(Table13[[#This Row],[v2cltort_nr]:[v2clrgwkch_nr]])</f>
        <v>5</v>
      </c>
      <c r="J68" s="4">
        <f>MAX(Table13[[#This Row],[v2clrgstch_nr]:[v2clrgwkch_nr]])</f>
        <v>3</v>
      </c>
      <c r="K68" s="4">
        <f>MAX(Table1[[#This Row],[v2elsnlfc_nr]:[v2elsnmrfc_nr]])</f>
        <v>4</v>
      </c>
    </row>
    <row r="69" spans="1:11" x14ac:dyDescent="0.35">
      <c r="A69" s="2">
        <v>1967</v>
      </c>
      <c r="B69">
        <f>AVERAGE(Table1[[#This Row],[v2eldonate_nr]:[v2elffelrbin_nr]])</f>
        <v>4.875</v>
      </c>
      <c r="C69">
        <f>AVERAGE(Table1[[#This Row],[v2elsnlfc_nr]:[v2elsnmrfc_nr]])</f>
        <v>4</v>
      </c>
      <c r="D69">
        <f>Table1[[#This Row],[v2el_avg]]-Table1[[#This Row],[v2elsn_avg]]</f>
        <v>0.875</v>
      </c>
      <c r="E69">
        <f>AVERAGE(Table13[[#This Row],[v2cltort_nr]:[v2clprptyw_nr]])</f>
        <v>5</v>
      </c>
      <c r="F69">
        <f>AVERAGE(Table13[[#This Row],[v2clrgstch_nr]:[v2clrgwkch_nr]])</f>
        <v>3</v>
      </c>
      <c r="G69">
        <f>Table13[[#This Row],[v2cl_avg]]-Table13[[#This Row],[v2clsn_avg]]</f>
        <v>2</v>
      </c>
      <c r="H69" s="4">
        <f>MAX(Table1[[#This Row],[v2eldonate_nr]:[v2elsnmrfc_nr]])</f>
        <v>7</v>
      </c>
      <c r="I69" s="4">
        <f>MAX(Table13[[#This Row],[v2cltort_nr]:[v2clrgwkch_nr]])</f>
        <v>5</v>
      </c>
      <c r="J69" s="4">
        <f>MAX(Table13[[#This Row],[v2clrgstch_nr]:[v2clrgwkch_nr]])</f>
        <v>3</v>
      </c>
      <c r="K69" s="4">
        <f>MAX(Table1[[#This Row],[v2elsnlfc_nr]:[v2elsnmrfc_nr]])</f>
        <v>4</v>
      </c>
    </row>
    <row r="70" spans="1:11" x14ac:dyDescent="0.35">
      <c r="A70" s="1">
        <v>1968</v>
      </c>
      <c r="B70">
        <f>AVERAGE(Table1[[#This Row],[v2eldonate_nr]:[v2elffelrbin_nr]])</f>
        <v>6.333333333333333</v>
      </c>
      <c r="C70">
        <f>AVERAGE(Table1[[#This Row],[v2elsnlfc_nr]:[v2elsnmrfc_nr]])</f>
        <v>4</v>
      </c>
      <c r="D70">
        <f>Table1[[#This Row],[v2el_avg]]-Table1[[#This Row],[v2elsn_avg]]</f>
        <v>2.333333333333333</v>
      </c>
      <c r="E70">
        <f>AVERAGE(Table13[[#This Row],[v2cltort_nr]:[v2clprptyw_nr]])</f>
        <v>5</v>
      </c>
      <c r="F70">
        <f>AVERAGE(Table13[[#This Row],[v2clrgstch_nr]:[v2clrgwkch_nr]])</f>
        <v>3</v>
      </c>
      <c r="G70">
        <f>Table13[[#This Row],[v2cl_avg]]-Table13[[#This Row],[v2clsn_avg]]</f>
        <v>2</v>
      </c>
      <c r="H70" s="4">
        <f>MAX(Table1[[#This Row],[v2eldonate_nr]:[v2elsnmrfc_nr]])</f>
        <v>7</v>
      </c>
      <c r="I70" s="4">
        <f>MAX(Table13[[#This Row],[v2cltort_nr]:[v2clrgwkch_nr]])</f>
        <v>5</v>
      </c>
      <c r="J70" s="4">
        <f>MAX(Table13[[#This Row],[v2clrgstch_nr]:[v2clrgwkch_nr]])</f>
        <v>3</v>
      </c>
      <c r="K70" s="4">
        <f>MAX(Table1[[#This Row],[v2elsnlfc_nr]:[v2elsnmrfc_nr]])</f>
        <v>4</v>
      </c>
    </row>
    <row r="71" spans="1:11" x14ac:dyDescent="0.35">
      <c r="A71" s="2">
        <v>1969</v>
      </c>
      <c r="B71">
        <f>AVERAGE(Table1[[#This Row],[v2eldonate_nr]:[v2elffelrbin_nr]])</f>
        <v>4.75</v>
      </c>
      <c r="C71">
        <f>AVERAGE(Table1[[#This Row],[v2elsnlfc_nr]:[v2elsnmrfc_nr]])</f>
        <v>3</v>
      </c>
      <c r="D71">
        <f>Table1[[#This Row],[v2el_avg]]-Table1[[#This Row],[v2elsn_avg]]</f>
        <v>1.75</v>
      </c>
      <c r="E71">
        <f>AVERAGE(Table13[[#This Row],[v2cltort_nr]:[v2clprptyw_nr]])</f>
        <v>5</v>
      </c>
      <c r="F71">
        <f>AVERAGE(Table13[[#This Row],[v2clrgstch_nr]:[v2clrgwkch_nr]])</f>
        <v>3</v>
      </c>
      <c r="G71">
        <f>Table13[[#This Row],[v2cl_avg]]-Table13[[#This Row],[v2clsn_avg]]</f>
        <v>2</v>
      </c>
      <c r="H71" s="4">
        <f>MAX(Table1[[#This Row],[v2eldonate_nr]:[v2elsnmrfc_nr]])</f>
        <v>7</v>
      </c>
      <c r="I71" s="4">
        <f>MAX(Table13[[#This Row],[v2cltort_nr]:[v2clrgwkch_nr]])</f>
        <v>5</v>
      </c>
      <c r="J71" s="4">
        <f>MAX(Table13[[#This Row],[v2clrgstch_nr]:[v2clrgwkch_nr]])</f>
        <v>3</v>
      </c>
      <c r="K71" s="4">
        <f>MAX(Table1[[#This Row],[v2elsnlfc_nr]:[v2elsnmrfc_nr]])</f>
        <v>3</v>
      </c>
    </row>
    <row r="72" spans="1:11" x14ac:dyDescent="0.35">
      <c r="A72" s="1">
        <v>1970</v>
      </c>
      <c r="B72">
        <f>AVERAGE(Table1[[#This Row],[v2eldonate_nr]:[v2elffelrbin_nr]])</f>
        <v>6.2857142857142856</v>
      </c>
      <c r="C72">
        <f>AVERAGE(Table1[[#This Row],[v2elsnlfc_nr]:[v2elsnmrfc_nr]])</f>
        <v>4</v>
      </c>
      <c r="D72">
        <f>Table1[[#This Row],[v2el_avg]]-Table1[[#This Row],[v2elsn_avg]]</f>
        <v>2.2857142857142856</v>
      </c>
      <c r="E72">
        <f>AVERAGE(Table13[[#This Row],[v2cltort_nr]:[v2clprptyw_nr]])</f>
        <v>5</v>
      </c>
      <c r="F72">
        <f>AVERAGE(Table13[[#This Row],[v2clrgstch_nr]:[v2clrgwkch_nr]])</f>
        <v>3.5</v>
      </c>
      <c r="G72">
        <f>Table13[[#This Row],[v2cl_avg]]-Table13[[#This Row],[v2clsn_avg]]</f>
        <v>1.5</v>
      </c>
      <c r="H72" s="4">
        <f>MAX(Table1[[#This Row],[v2eldonate_nr]:[v2elsnmrfc_nr]])</f>
        <v>7</v>
      </c>
      <c r="I72" s="4">
        <f>MAX(Table13[[#This Row],[v2cltort_nr]:[v2clrgwkch_nr]])</f>
        <v>5</v>
      </c>
      <c r="J72" s="4">
        <f>MAX(Table13[[#This Row],[v2clrgstch_nr]:[v2clrgwkch_nr]])</f>
        <v>4</v>
      </c>
      <c r="K72" s="4">
        <f>MAX(Table1[[#This Row],[v2elsnlfc_nr]:[v2elsnmrfc_nr]])</f>
        <v>4</v>
      </c>
    </row>
    <row r="73" spans="1:11" x14ac:dyDescent="0.35">
      <c r="A73" s="2">
        <v>1971</v>
      </c>
      <c r="B73">
        <f>AVERAGE(Table1[[#This Row],[v2eldonate_nr]:[v2elffelrbin_nr]])</f>
        <v>4.75</v>
      </c>
      <c r="C73">
        <f>AVERAGE(Table1[[#This Row],[v2elsnlfc_nr]:[v2elsnmrfc_nr]])</f>
        <v>3</v>
      </c>
      <c r="D73">
        <f>Table1[[#This Row],[v2el_avg]]-Table1[[#This Row],[v2elsn_avg]]</f>
        <v>1.75</v>
      </c>
      <c r="E73">
        <f>AVERAGE(Table13[[#This Row],[v2cltort_nr]:[v2clprptyw_nr]])</f>
        <v>5</v>
      </c>
      <c r="F73">
        <f>AVERAGE(Table13[[#This Row],[v2clrgstch_nr]:[v2clrgwkch_nr]])</f>
        <v>3.5</v>
      </c>
      <c r="G73">
        <f>Table13[[#This Row],[v2cl_avg]]-Table13[[#This Row],[v2clsn_avg]]</f>
        <v>1.5</v>
      </c>
      <c r="H73" s="4">
        <f>MAX(Table1[[#This Row],[v2eldonate_nr]:[v2elsnmrfc_nr]])</f>
        <v>7</v>
      </c>
      <c r="I73" s="4">
        <f>MAX(Table13[[#This Row],[v2cltort_nr]:[v2clrgwkch_nr]])</f>
        <v>5</v>
      </c>
      <c r="J73" s="4">
        <f>MAX(Table13[[#This Row],[v2clrgstch_nr]:[v2clrgwkch_nr]])</f>
        <v>4</v>
      </c>
      <c r="K73" s="4">
        <f>MAX(Table1[[#This Row],[v2elsnlfc_nr]:[v2elsnmrfc_nr]])</f>
        <v>3</v>
      </c>
    </row>
    <row r="74" spans="1:11" x14ac:dyDescent="0.35">
      <c r="A74" s="1">
        <v>1972</v>
      </c>
      <c r="B74">
        <f>AVERAGE(Table1[[#This Row],[v2eldonate_nr]:[v2elffelrbin_nr]])</f>
        <v>4.75</v>
      </c>
      <c r="C74">
        <f>AVERAGE(Table1[[#This Row],[v2elsnlfc_nr]:[v2elsnmrfc_nr]])</f>
        <v>3</v>
      </c>
      <c r="D74">
        <f>Table1[[#This Row],[v2el_avg]]-Table1[[#This Row],[v2elsn_avg]]</f>
        <v>1.75</v>
      </c>
      <c r="E74">
        <f>AVERAGE(Table13[[#This Row],[v2cltort_nr]:[v2clprptyw_nr]])</f>
        <v>5</v>
      </c>
      <c r="F74">
        <f>AVERAGE(Table13[[#This Row],[v2clrgstch_nr]:[v2clrgwkch_nr]])</f>
        <v>3.5</v>
      </c>
      <c r="G74">
        <f>Table13[[#This Row],[v2cl_avg]]-Table13[[#This Row],[v2clsn_avg]]</f>
        <v>1.5</v>
      </c>
      <c r="H74" s="4">
        <f>MAX(Table1[[#This Row],[v2eldonate_nr]:[v2elsnmrfc_nr]])</f>
        <v>7</v>
      </c>
      <c r="I74" s="4">
        <f>MAX(Table13[[#This Row],[v2cltort_nr]:[v2clrgwkch_nr]])</f>
        <v>5</v>
      </c>
      <c r="J74" s="4">
        <f>MAX(Table13[[#This Row],[v2clrgstch_nr]:[v2clrgwkch_nr]])</f>
        <v>4</v>
      </c>
      <c r="K74" s="4">
        <f>MAX(Table1[[#This Row],[v2elsnlfc_nr]:[v2elsnmrfc_nr]])</f>
        <v>3</v>
      </c>
    </row>
    <row r="75" spans="1:11" x14ac:dyDescent="0.35">
      <c r="A75" s="2">
        <v>1973</v>
      </c>
      <c r="B75">
        <f>AVERAGE(Table1[[#This Row],[v2eldonate_nr]:[v2elffelrbin_nr]])</f>
        <v>4.75</v>
      </c>
      <c r="C75">
        <f>AVERAGE(Table1[[#This Row],[v2elsnlfc_nr]:[v2elsnmrfc_nr]])</f>
        <v>3</v>
      </c>
      <c r="D75">
        <f>Table1[[#This Row],[v2el_avg]]-Table1[[#This Row],[v2elsn_avg]]</f>
        <v>1.75</v>
      </c>
      <c r="E75">
        <f>AVERAGE(Table13[[#This Row],[v2cltort_nr]:[v2clprptyw_nr]])</f>
        <v>5</v>
      </c>
      <c r="F75">
        <f>AVERAGE(Table13[[#This Row],[v2clrgstch_nr]:[v2clrgwkch_nr]])</f>
        <v>3.5</v>
      </c>
      <c r="G75">
        <f>Table13[[#This Row],[v2cl_avg]]-Table13[[#This Row],[v2clsn_avg]]</f>
        <v>1.5</v>
      </c>
      <c r="H75" s="4">
        <f>MAX(Table1[[#This Row],[v2eldonate_nr]:[v2elsnmrfc_nr]])</f>
        <v>7</v>
      </c>
      <c r="I75" s="4">
        <f>MAX(Table13[[#This Row],[v2cltort_nr]:[v2clrgwkch_nr]])</f>
        <v>5</v>
      </c>
      <c r="J75" s="4">
        <f>MAX(Table13[[#This Row],[v2clrgstch_nr]:[v2clrgwkch_nr]])</f>
        <v>4</v>
      </c>
      <c r="K75" s="4">
        <f>MAX(Table1[[#This Row],[v2elsnlfc_nr]:[v2elsnmrfc_nr]])</f>
        <v>3</v>
      </c>
    </row>
    <row r="76" spans="1:11" x14ac:dyDescent="0.35">
      <c r="A76" s="1">
        <v>1974</v>
      </c>
      <c r="B76">
        <f>AVERAGE(Table1[[#This Row],[v2eldonate_nr]:[v2elffelrbin_nr]])</f>
        <v>6.3809523809523814</v>
      </c>
      <c r="C76">
        <f>AVERAGE(Table1[[#This Row],[v2elsnlfc_nr]:[v2elsnmrfc_nr]])</f>
        <v>4</v>
      </c>
      <c r="D76">
        <f>Table1[[#This Row],[v2el_avg]]-Table1[[#This Row],[v2elsn_avg]]</f>
        <v>2.3809523809523814</v>
      </c>
      <c r="E76">
        <f>AVERAGE(Table13[[#This Row],[v2cltort_nr]:[v2clprptyw_nr]])</f>
        <v>5</v>
      </c>
      <c r="F76">
        <f>AVERAGE(Table13[[#This Row],[v2clrgstch_nr]:[v2clrgwkch_nr]])</f>
        <v>3.5</v>
      </c>
      <c r="G76">
        <f>Table13[[#This Row],[v2cl_avg]]-Table13[[#This Row],[v2clsn_avg]]</f>
        <v>1.5</v>
      </c>
      <c r="H76" s="4">
        <f>MAX(Table1[[#This Row],[v2eldonate_nr]:[v2elsnmrfc_nr]])</f>
        <v>7</v>
      </c>
      <c r="I76" s="4">
        <f>MAX(Table13[[#This Row],[v2cltort_nr]:[v2clrgwkch_nr]])</f>
        <v>5</v>
      </c>
      <c r="J76" s="4">
        <f>MAX(Table13[[#This Row],[v2clrgstch_nr]:[v2clrgwkch_nr]])</f>
        <v>4</v>
      </c>
      <c r="K76" s="4">
        <f>MAX(Table1[[#This Row],[v2elsnlfc_nr]:[v2elsnmrfc_nr]])</f>
        <v>4</v>
      </c>
    </row>
    <row r="77" spans="1:11" x14ac:dyDescent="0.35">
      <c r="A77" s="2">
        <v>1975</v>
      </c>
      <c r="B77">
        <f>AVERAGE(Table1[[#This Row],[v2eldonate_nr]:[v2elffelrbin_nr]])</f>
        <v>4.75</v>
      </c>
      <c r="C77">
        <f>AVERAGE(Table1[[#This Row],[v2elsnlfc_nr]:[v2elsnmrfc_nr]])</f>
        <v>3</v>
      </c>
      <c r="D77">
        <f>Table1[[#This Row],[v2el_avg]]-Table1[[#This Row],[v2elsn_avg]]</f>
        <v>1.75</v>
      </c>
      <c r="E77">
        <f>AVERAGE(Table13[[#This Row],[v2cltort_nr]:[v2clprptyw_nr]])</f>
        <v>5</v>
      </c>
      <c r="F77">
        <f>AVERAGE(Table13[[#This Row],[v2clrgstch_nr]:[v2clrgwkch_nr]])</f>
        <v>3.5</v>
      </c>
      <c r="G77">
        <f>Table13[[#This Row],[v2cl_avg]]-Table13[[#This Row],[v2clsn_avg]]</f>
        <v>1.5</v>
      </c>
      <c r="H77" s="4">
        <f>MAX(Table1[[#This Row],[v2eldonate_nr]:[v2elsnmrfc_nr]])</f>
        <v>7</v>
      </c>
      <c r="I77" s="4">
        <f>MAX(Table13[[#This Row],[v2cltort_nr]:[v2clrgwkch_nr]])</f>
        <v>5</v>
      </c>
      <c r="J77" s="4">
        <f>MAX(Table13[[#This Row],[v2clrgstch_nr]:[v2clrgwkch_nr]])</f>
        <v>4</v>
      </c>
      <c r="K77" s="4">
        <f>MAX(Table1[[#This Row],[v2elsnlfc_nr]:[v2elsnmrfc_nr]])</f>
        <v>3</v>
      </c>
    </row>
    <row r="78" spans="1:11" x14ac:dyDescent="0.35">
      <c r="A78" s="1">
        <v>1976</v>
      </c>
      <c r="B78">
        <f>AVERAGE(Table1[[#This Row],[v2eldonate_nr]:[v2elffelrbin_nr]])</f>
        <v>4.75</v>
      </c>
      <c r="C78">
        <f>AVERAGE(Table1[[#This Row],[v2elsnlfc_nr]:[v2elsnmrfc_nr]])</f>
        <v>3</v>
      </c>
      <c r="D78">
        <f>Table1[[#This Row],[v2el_avg]]-Table1[[#This Row],[v2elsn_avg]]</f>
        <v>1.75</v>
      </c>
      <c r="E78">
        <f>AVERAGE(Table13[[#This Row],[v2cltort_nr]:[v2clprptyw_nr]])</f>
        <v>5</v>
      </c>
      <c r="F78">
        <f>AVERAGE(Table13[[#This Row],[v2clrgstch_nr]:[v2clrgwkch_nr]])</f>
        <v>3.5</v>
      </c>
      <c r="G78">
        <f>Table13[[#This Row],[v2cl_avg]]-Table13[[#This Row],[v2clsn_avg]]</f>
        <v>1.5</v>
      </c>
      <c r="H78" s="4">
        <f>MAX(Table1[[#This Row],[v2eldonate_nr]:[v2elsnmrfc_nr]])</f>
        <v>7</v>
      </c>
      <c r="I78" s="4">
        <f>MAX(Table13[[#This Row],[v2cltort_nr]:[v2clrgwkch_nr]])</f>
        <v>5</v>
      </c>
      <c r="J78" s="4">
        <f>MAX(Table13[[#This Row],[v2clrgstch_nr]:[v2clrgwkch_nr]])</f>
        <v>4</v>
      </c>
      <c r="K78" s="4">
        <f>MAX(Table1[[#This Row],[v2elsnlfc_nr]:[v2elsnmrfc_nr]])</f>
        <v>3</v>
      </c>
    </row>
    <row r="79" spans="1:11" x14ac:dyDescent="0.35">
      <c r="A79" s="2">
        <v>1977</v>
      </c>
      <c r="B79">
        <f>AVERAGE(Table1[[#This Row],[v2eldonate_nr]:[v2elffelrbin_nr]])</f>
        <v>4.75</v>
      </c>
      <c r="C79">
        <f>AVERAGE(Table1[[#This Row],[v2elsnlfc_nr]:[v2elsnmrfc_nr]])</f>
        <v>3</v>
      </c>
      <c r="D79">
        <f>Table1[[#This Row],[v2el_avg]]-Table1[[#This Row],[v2elsn_avg]]</f>
        <v>1.75</v>
      </c>
      <c r="E79">
        <f>AVERAGE(Table13[[#This Row],[v2cltort_nr]:[v2clprptyw_nr]])</f>
        <v>5</v>
      </c>
      <c r="F79">
        <f>AVERAGE(Table13[[#This Row],[v2clrgstch_nr]:[v2clrgwkch_nr]])</f>
        <v>3.5</v>
      </c>
      <c r="G79">
        <f>Table13[[#This Row],[v2cl_avg]]-Table13[[#This Row],[v2clsn_avg]]</f>
        <v>1.5</v>
      </c>
      <c r="H79" s="4">
        <f>MAX(Table1[[#This Row],[v2eldonate_nr]:[v2elsnmrfc_nr]])</f>
        <v>7</v>
      </c>
      <c r="I79" s="4">
        <f>MAX(Table13[[#This Row],[v2cltort_nr]:[v2clrgwkch_nr]])</f>
        <v>5</v>
      </c>
      <c r="J79" s="4">
        <f>MAX(Table13[[#This Row],[v2clrgstch_nr]:[v2clrgwkch_nr]])</f>
        <v>4</v>
      </c>
      <c r="K79" s="4">
        <f>MAX(Table1[[#This Row],[v2elsnlfc_nr]:[v2elsnmrfc_nr]])</f>
        <v>3</v>
      </c>
    </row>
    <row r="80" spans="1:11" x14ac:dyDescent="0.35">
      <c r="A80" s="1">
        <v>1978</v>
      </c>
      <c r="B80">
        <f>AVERAGE(Table1[[#This Row],[v2eldonate_nr]:[v2elffelrbin_nr]])</f>
        <v>6.4285714285714288</v>
      </c>
      <c r="C80">
        <f>AVERAGE(Table1[[#This Row],[v2elsnlfc_nr]:[v2elsnmrfc_nr]])</f>
        <v>4</v>
      </c>
      <c r="D80">
        <f>Table1[[#This Row],[v2el_avg]]-Table1[[#This Row],[v2elsn_avg]]</f>
        <v>2.4285714285714288</v>
      </c>
      <c r="E80">
        <f>AVERAGE(Table13[[#This Row],[v2cltort_nr]:[v2clprptyw_nr]])</f>
        <v>5</v>
      </c>
      <c r="F80">
        <f>AVERAGE(Table13[[#This Row],[v2clrgstch_nr]:[v2clrgwkch_nr]])</f>
        <v>3.5</v>
      </c>
      <c r="G80">
        <f>Table13[[#This Row],[v2cl_avg]]-Table13[[#This Row],[v2clsn_avg]]</f>
        <v>1.5</v>
      </c>
      <c r="H80" s="4">
        <f>MAX(Table1[[#This Row],[v2eldonate_nr]:[v2elsnmrfc_nr]])</f>
        <v>7</v>
      </c>
      <c r="I80" s="4">
        <f>MAX(Table13[[#This Row],[v2cltort_nr]:[v2clrgwkch_nr]])</f>
        <v>5</v>
      </c>
      <c r="J80" s="4">
        <f>MAX(Table13[[#This Row],[v2clrgstch_nr]:[v2clrgwkch_nr]])</f>
        <v>4</v>
      </c>
      <c r="K80" s="4">
        <f>MAX(Table1[[#This Row],[v2elsnlfc_nr]:[v2elsnmrfc_nr]])</f>
        <v>4</v>
      </c>
    </row>
    <row r="81" spans="1:11" x14ac:dyDescent="0.35">
      <c r="A81" s="2">
        <v>1979</v>
      </c>
      <c r="B81">
        <f>AVERAGE(Table1[[#This Row],[v2eldonate_nr]:[v2elffelrbin_nr]])</f>
        <v>4.75</v>
      </c>
      <c r="C81">
        <f>AVERAGE(Table1[[#This Row],[v2elsnlfc_nr]:[v2elsnmrfc_nr]])</f>
        <v>3</v>
      </c>
      <c r="D81">
        <f>Table1[[#This Row],[v2el_avg]]-Table1[[#This Row],[v2elsn_avg]]</f>
        <v>1.75</v>
      </c>
      <c r="E81">
        <f>AVERAGE(Table13[[#This Row],[v2cltort_nr]:[v2clprptyw_nr]])</f>
        <v>5</v>
      </c>
      <c r="F81">
        <f>AVERAGE(Table13[[#This Row],[v2clrgstch_nr]:[v2clrgwkch_nr]])</f>
        <v>3.5</v>
      </c>
      <c r="G81">
        <f>Table13[[#This Row],[v2cl_avg]]-Table13[[#This Row],[v2clsn_avg]]</f>
        <v>1.5</v>
      </c>
      <c r="H81" s="4">
        <f>MAX(Table1[[#This Row],[v2eldonate_nr]:[v2elsnmrfc_nr]])</f>
        <v>7</v>
      </c>
      <c r="I81" s="4">
        <f>MAX(Table13[[#This Row],[v2cltort_nr]:[v2clrgwkch_nr]])</f>
        <v>5</v>
      </c>
      <c r="J81" s="4">
        <f>MAX(Table13[[#This Row],[v2clrgstch_nr]:[v2clrgwkch_nr]])</f>
        <v>4</v>
      </c>
      <c r="K81" s="4">
        <f>MAX(Table1[[#This Row],[v2elsnlfc_nr]:[v2elsnmrfc_nr]])</f>
        <v>3</v>
      </c>
    </row>
    <row r="82" spans="1:11" x14ac:dyDescent="0.35">
      <c r="A82" s="1">
        <v>1980</v>
      </c>
      <c r="B82">
        <f>AVERAGE(Table1[[#This Row],[v2eldonate_nr]:[v2elffelrbin_nr]])</f>
        <v>4.75</v>
      </c>
      <c r="C82">
        <f>AVERAGE(Table1[[#This Row],[v2elsnlfc_nr]:[v2elsnmrfc_nr]])</f>
        <v>3</v>
      </c>
      <c r="D82">
        <f>Table1[[#This Row],[v2el_avg]]-Table1[[#This Row],[v2elsn_avg]]</f>
        <v>1.75</v>
      </c>
      <c r="E82">
        <f>AVERAGE(Table13[[#This Row],[v2cltort_nr]:[v2clprptyw_nr]])</f>
        <v>5</v>
      </c>
      <c r="F82">
        <f>AVERAGE(Table13[[#This Row],[v2clrgstch_nr]:[v2clrgwkch_nr]])</f>
        <v>4</v>
      </c>
      <c r="G82">
        <f>Table13[[#This Row],[v2cl_avg]]-Table13[[#This Row],[v2clsn_avg]]</f>
        <v>1</v>
      </c>
      <c r="H82" s="4">
        <f>MAX(Table1[[#This Row],[v2eldonate_nr]:[v2elsnmrfc_nr]])</f>
        <v>7</v>
      </c>
      <c r="I82" s="4">
        <f>MAX(Table13[[#This Row],[v2cltort_nr]:[v2clrgwkch_nr]])</f>
        <v>5</v>
      </c>
      <c r="J82" s="4">
        <f>MAX(Table13[[#This Row],[v2clrgstch_nr]:[v2clrgwkch_nr]])</f>
        <v>4</v>
      </c>
      <c r="K82" s="4">
        <f>MAX(Table1[[#This Row],[v2elsnlfc_nr]:[v2elsnmrfc_nr]])</f>
        <v>3</v>
      </c>
    </row>
    <row r="83" spans="1:11" x14ac:dyDescent="0.35">
      <c r="A83" s="2">
        <v>1981</v>
      </c>
      <c r="B83">
        <f>AVERAGE(Table1[[#This Row],[v2eldonate_nr]:[v2elffelrbin_nr]])</f>
        <v>4.75</v>
      </c>
      <c r="C83">
        <f>AVERAGE(Table1[[#This Row],[v2elsnlfc_nr]:[v2elsnmrfc_nr]])</f>
        <v>3</v>
      </c>
      <c r="D83">
        <f>Table1[[#This Row],[v2el_avg]]-Table1[[#This Row],[v2elsn_avg]]</f>
        <v>1.75</v>
      </c>
      <c r="E83">
        <f>AVERAGE(Table13[[#This Row],[v2cltort_nr]:[v2clprptyw_nr]])</f>
        <v>5</v>
      </c>
      <c r="F83">
        <f>AVERAGE(Table13[[#This Row],[v2clrgstch_nr]:[v2clrgwkch_nr]])</f>
        <v>4</v>
      </c>
      <c r="G83">
        <f>Table13[[#This Row],[v2cl_avg]]-Table13[[#This Row],[v2clsn_avg]]</f>
        <v>1</v>
      </c>
      <c r="H83" s="4">
        <f>MAX(Table1[[#This Row],[v2eldonate_nr]:[v2elsnmrfc_nr]])</f>
        <v>7</v>
      </c>
      <c r="I83" s="4">
        <f>MAX(Table13[[#This Row],[v2cltort_nr]:[v2clrgwkch_nr]])</f>
        <v>5</v>
      </c>
      <c r="J83" s="4">
        <f>MAX(Table13[[#This Row],[v2clrgstch_nr]:[v2clrgwkch_nr]])</f>
        <v>4</v>
      </c>
      <c r="K83" s="4">
        <f>MAX(Table1[[#This Row],[v2elsnlfc_nr]:[v2elsnmrfc_nr]])</f>
        <v>3</v>
      </c>
    </row>
    <row r="84" spans="1:11" x14ac:dyDescent="0.35">
      <c r="A84" s="1">
        <v>1982</v>
      </c>
      <c r="B84">
        <f>AVERAGE(Table1[[#This Row],[v2eldonate_nr]:[v2elffelrbin_nr]])</f>
        <v>6.4285714285714288</v>
      </c>
      <c r="C84">
        <f>AVERAGE(Table1[[#This Row],[v2elsnlfc_nr]:[v2elsnmrfc_nr]])</f>
        <v>4</v>
      </c>
      <c r="D84">
        <f>Table1[[#This Row],[v2el_avg]]-Table1[[#This Row],[v2elsn_avg]]</f>
        <v>2.4285714285714288</v>
      </c>
      <c r="E84">
        <f>AVERAGE(Table13[[#This Row],[v2cltort_nr]:[v2clprptyw_nr]])</f>
        <v>5</v>
      </c>
      <c r="F84">
        <f>AVERAGE(Table13[[#This Row],[v2clrgstch_nr]:[v2clrgwkch_nr]])</f>
        <v>4</v>
      </c>
      <c r="G84">
        <f>Table13[[#This Row],[v2cl_avg]]-Table13[[#This Row],[v2clsn_avg]]</f>
        <v>1</v>
      </c>
      <c r="H84" s="4">
        <f>MAX(Table1[[#This Row],[v2eldonate_nr]:[v2elsnmrfc_nr]])</f>
        <v>7</v>
      </c>
      <c r="I84" s="4">
        <f>MAX(Table13[[#This Row],[v2cltort_nr]:[v2clrgwkch_nr]])</f>
        <v>5</v>
      </c>
      <c r="J84" s="4">
        <f>MAX(Table13[[#This Row],[v2clrgstch_nr]:[v2clrgwkch_nr]])</f>
        <v>4</v>
      </c>
      <c r="K84" s="4">
        <f>MAX(Table1[[#This Row],[v2elsnlfc_nr]:[v2elsnmrfc_nr]])</f>
        <v>4</v>
      </c>
    </row>
    <row r="85" spans="1:11" x14ac:dyDescent="0.35">
      <c r="A85" s="2">
        <v>1983</v>
      </c>
      <c r="B85">
        <f>AVERAGE(Table1[[#This Row],[v2eldonate_nr]:[v2elffelrbin_nr]])</f>
        <v>4.75</v>
      </c>
      <c r="C85">
        <f>AVERAGE(Table1[[#This Row],[v2elsnlfc_nr]:[v2elsnmrfc_nr]])</f>
        <v>3</v>
      </c>
      <c r="D85">
        <f>Table1[[#This Row],[v2el_avg]]-Table1[[#This Row],[v2elsn_avg]]</f>
        <v>1.75</v>
      </c>
      <c r="E85">
        <f>AVERAGE(Table13[[#This Row],[v2cltort_nr]:[v2clprptyw_nr]])</f>
        <v>5</v>
      </c>
      <c r="F85">
        <f>AVERAGE(Table13[[#This Row],[v2clrgstch_nr]:[v2clrgwkch_nr]])</f>
        <v>4</v>
      </c>
      <c r="G85">
        <f>Table13[[#This Row],[v2cl_avg]]-Table13[[#This Row],[v2clsn_avg]]</f>
        <v>1</v>
      </c>
      <c r="H85" s="4">
        <f>MAX(Table1[[#This Row],[v2eldonate_nr]:[v2elsnmrfc_nr]])</f>
        <v>7</v>
      </c>
      <c r="I85" s="4">
        <f>MAX(Table13[[#This Row],[v2cltort_nr]:[v2clrgwkch_nr]])</f>
        <v>5</v>
      </c>
      <c r="J85" s="4">
        <f>MAX(Table13[[#This Row],[v2clrgstch_nr]:[v2clrgwkch_nr]])</f>
        <v>4</v>
      </c>
      <c r="K85" s="4">
        <f>MAX(Table1[[#This Row],[v2elsnlfc_nr]:[v2elsnmrfc_nr]])</f>
        <v>3</v>
      </c>
    </row>
    <row r="86" spans="1:11" x14ac:dyDescent="0.35">
      <c r="A86" s="1">
        <v>1984</v>
      </c>
      <c r="B86">
        <f>AVERAGE(Table1[[#This Row],[v2eldonate_nr]:[v2elffelrbin_nr]])</f>
        <v>4.75</v>
      </c>
      <c r="C86">
        <f>AVERAGE(Table1[[#This Row],[v2elsnlfc_nr]:[v2elsnmrfc_nr]])</f>
        <v>3</v>
      </c>
      <c r="D86">
        <f>Table1[[#This Row],[v2el_avg]]-Table1[[#This Row],[v2elsn_avg]]</f>
        <v>1.75</v>
      </c>
      <c r="E86">
        <f>AVERAGE(Table13[[#This Row],[v2cltort_nr]:[v2clprptyw_nr]])</f>
        <v>5</v>
      </c>
      <c r="F86">
        <f>AVERAGE(Table13[[#This Row],[v2clrgstch_nr]:[v2clrgwkch_nr]])</f>
        <v>4</v>
      </c>
      <c r="G86">
        <f>Table13[[#This Row],[v2cl_avg]]-Table13[[#This Row],[v2clsn_avg]]</f>
        <v>1</v>
      </c>
      <c r="H86" s="4">
        <f>MAX(Table1[[#This Row],[v2eldonate_nr]:[v2elsnmrfc_nr]])</f>
        <v>7</v>
      </c>
      <c r="I86" s="4">
        <f>MAX(Table13[[#This Row],[v2cltort_nr]:[v2clrgwkch_nr]])</f>
        <v>5</v>
      </c>
      <c r="J86" s="4">
        <f>MAX(Table13[[#This Row],[v2clrgstch_nr]:[v2clrgwkch_nr]])</f>
        <v>4</v>
      </c>
      <c r="K86" s="4">
        <f>MAX(Table1[[#This Row],[v2elsnlfc_nr]:[v2elsnmrfc_nr]])</f>
        <v>3</v>
      </c>
    </row>
    <row r="87" spans="1:11" x14ac:dyDescent="0.35">
      <c r="A87" s="2">
        <v>1985</v>
      </c>
      <c r="B87">
        <f>AVERAGE(Table1[[#This Row],[v2eldonate_nr]:[v2elffelrbin_nr]])</f>
        <v>4.75</v>
      </c>
      <c r="C87">
        <f>AVERAGE(Table1[[#This Row],[v2elsnlfc_nr]:[v2elsnmrfc_nr]])</f>
        <v>3</v>
      </c>
      <c r="D87">
        <f>Table1[[#This Row],[v2el_avg]]-Table1[[#This Row],[v2elsn_avg]]</f>
        <v>1.75</v>
      </c>
      <c r="E87">
        <f>AVERAGE(Table13[[#This Row],[v2cltort_nr]:[v2clprptyw_nr]])</f>
        <v>5</v>
      </c>
      <c r="F87">
        <f>AVERAGE(Table13[[#This Row],[v2clrgstch_nr]:[v2clrgwkch_nr]])</f>
        <v>4</v>
      </c>
      <c r="G87">
        <f>Table13[[#This Row],[v2cl_avg]]-Table13[[#This Row],[v2clsn_avg]]</f>
        <v>1</v>
      </c>
      <c r="H87" s="4">
        <f>MAX(Table1[[#This Row],[v2eldonate_nr]:[v2elsnmrfc_nr]])</f>
        <v>7</v>
      </c>
      <c r="I87" s="4">
        <f>MAX(Table13[[#This Row],[v2cltort_nr]:[v2clrgwkch_nr]])</f>
        <v>5</v>
      </c>
      <c r="J87" s="4">
        <f>MAX(Table13[[#This Row],[v2clrgstch_nr]:[v2clrgwkch_nr]])</f>
        <v>4</v>
      </c>
      <c r="K87" s="4">
        <f>MAX(Table1[[#This Row],[v2elsnlfc_nr]:[v2elsnmrfc_nr]])</f>
        <v>3</v>
      </c>
    </row>
    <row r="88" spans="1:11" x14ac:dyDescent="0.35">
      <c r="A88" s="1">
        <v>1986</v>
      </c>
      <c r="B88">
        <f>AVERAGE(Table1[[#This Row],[v2eldonate_nr]:[v2elffelrbin_nr]])</f>
        <v>6.4285714285714288</v>
      </c>
      <c r="C88">
        <f>AVERAGE(Table1[[#This Row],[v2elsnlfc_nr]:[v2elsnmrfc_nr]])</f>
        <v>4</v>
      </c>
      <c r="D88">
        <f>Table1[[#This Row],[v2el_avg]]-Table1[[#This Row],[v2elsn_avg]]</f>
        <v>2.4285714285714288</v>
      </c>
      <c r="E88">
        <f>AVERAGE(Table13[[#This Row],[v2cltort_nr]:[v2clprptyw_nr]])</f>
        <v>5</v>
      </c>
      <c r="F88">
        <f>AVERAGE(Table13[[#This Row],[v2clrgstch_nr]:[v2clrgwkch_nr]])</f>
        <v>4</v>
      </c>
      <c r="G88">
        <f>Table13[[#This Row],[v2cl_avg]]-Table13[[#This Row],[v2clsn_avg]]</f>
        <v>1</v>
      </c>
      <c r="H88" s="4">
        <f>MAX(Table1[[#This Row],[v2eldonate_nr]:[v2elsnmrfc_nr]])</f>
        <v>7</v>
      </c>
      <c r="I88" s="4">
        <f>MAX(Table13[[#This Row],[v2cltort_nr]:[v2clrgwkch_nr]])</f>
        <v>5</v>
      </c>
      <c r="J88" s="4">
        <f>MAX(Table13[[#This Row],[v2clrgstch_nr]:[v2clrgwkch_nr]])</f>
        <v>4</v>
      </c>
      <c r="K88" s="4">
        <f>MAX(Table1[[#This Row],[v2elsnlfc_nr]:[v2elsnmrfc_nr]])</f>
        <v>4</v>
      </c>
    </row>
    <row r="89" spans="1:11" x14ac:dyDescent="0.35">
      <c r="A89" s="2">
        <v>1987</v>
      </c>
      <c r="B89">
        <f>AVERAGE(Table1[[#This Row],[v2eldonate_nr]:[v2elffelrbin_nr]])</f>
        <v>4.75</v>
      </c>
      <c r="C89">
        <f>AVERAGE(Table1[[#This Row],[v2elsnlfc_nr]:[v2elsnmrfc_nr]])</f>
        <v>3</v>
      </c>
      <c r="D89">
        <f>Table1[[#This Row],[v2el_avg]]-Table1[[#This Row],[v2elsn_avg]]</f>
        <v>1.75</v>
      </c>
      <c r="E89">
        <f>AVERAGE(Table13[[#This Row],[v2cltort_nr]:[v2clprptyw_nr]])</f>
        <v>5</v>
      </c>
      <c r="F89">
        <f>AVERAGE(Table13[[#This Row],[v2clrgstch_nr]:[v2clrgwkch_nr]])</f>
        <v>4</v>
      </c>
      <c r="G89">
        <f>Table13[[#This Row],[v2cl_avg]]-Table13[[#This Row],[v2clsn_avg]]</f>
        <v>1</v>
      </c>
      <c r="H89" s="4">
        <f>MAX(Table1[[#This Row],[v2eldonate_nr]:[v2elsnmrfc_nr]])</f>
        <v>7</v>
      </c>
      <c r="I89" s="4">
        <f>MAX(Table13[[#This Row],[v2cltort_nr]:[v2clrgwkch_nr]])</f>
        <v>5</v>
      </c>
      <c r="J89" s="4">
        <f>MAX(Table13[[#This Row],[v2clrgstch_nr]:[v2clrgwkch_nr]])</f>
        <v>4</v>
      </c>
      <c r="K89" s="4">
        <f>MAX(Table1[[#This Row],[v2elsnlfc_nr]:[v2elsnmrfc_nr]])</f>
        <v>3</v>
      </c>
    </row>
    <row r="90" spans="1:11" x14ac:dyDescent="0.35">
      <c r="A90" s="1">
        <v>1988</v>
      </c>
      <c r="B90">
        <f>AVERAGE(Table1[[#This Row],[v2eldonate_nr]:[v2elffelrbin_nr]])</f>
        <v>4.875</v>
      </c>
      <c r="C90">
        <f>AVERAGE(Table1[[#This Row],[v2elsnlfc_nr]:[v2elsnmrfc_nr]])</f>
        <v>4</v>
      </c>
      <c r="D90">
        <f>Table1[[#This Row],[v2el_avg]]-Table1[[#This Row],[v2elsn_avg]]</f>
        <v>0.875</v>
      </c>
      <c r="E90">
        <f>AVERAGE(Table13[[#This Row],[v2cltort_nr]:[v2clprptyw_nr]])</f>
        <v>5</v>
      </c>
      <c r="F90">
        <f>AVERAGE(Table13[[#This Row],[v2clrgstch_nr]:[v2clrgwkch_nr]])</f>
        <v>4</v>
      </c>
      <c r="G90">
        <f>Table13[[#This Row],[v2cl_avg]]-Table13[[#This Row],[v2clsn_avg]]</f>
        <v>1</v>
      </c>
      <c r="H90" s="4">
        <f>MAX(Table1[[#This Row],[v2eldonate_nr]:[v2elsnmrfc_nr]])</f>
        <v>7</v>
      </c>
      <c r="I90" s="4">
        <f>MAX(Table13[[#This Row],[v2cltort_nr]:[v2clrgwkch_nr]])</f>
        <v>5</v>
      </c>
      <c r="J90" s="4">
        <f>MAX(Table13[[#This Row],[v2clrgstch_nr]:[v2clrgwkch_nr]])</f>
        <v>4</v>
      </c>
      <c r="K90" s="4">
        <f>MAX(Table1[[#This Row],[v2elsnlfc_nr]:[v2elsnmrfc_nr]])</f>
        <v>4</v>
      </c>
    </row>
    <row r="91" spans="1:11" x14ac:dyDescent="0.35">
      <c r="A91" s="2">
        <v>1989</v>
      </c>
      <c r="B91">
        <f>AVERAGE(Table1[[#This Row],[v2eldonate_nr]:[v2elffelrbin_nr]])</f>
        <v>4.75</v>
      </c>
      <c r="C91">
        <f>AVERAGE(Table1[[#This Row],[v2elsnlfc_nr]:[v2elsnmrfc_nr]])</f>
        <v>3</v>
      </c>
      <c r="D91">
        <f>Table1[[#This Row],[v2el_avg]]-Table1[[#This Row],[v2elsn_avg]]</f>
        <v>1.75</v>
      </c>
      <c r="E91">
        <f>AVERAGE(Table13[[#This Row],[v2cltort_nr]:[v2clprptyw_nr]])</f>
        <v>5</v>
      </c>
      <c r="F91">
        <f>AVERAGE(Table13[[#This Row],[v2clrgstch_nr]:[v2clrgwkch_nr]])</f>
        <v>4</v>
      </c>
      <c r="G91">
        <f>Table13[[#This Row],[v2cl_avg]]-Table13[[#This Row],[v2clsn_avg]]</f>
        <v>1</v>
      </c>
      <c r="H91" s="4">
        <f>MAX(Table1[[#This Row],[v2eldonate_nr]:[v2elsnmrfc_nr]])</f>
        <v>7</v>
      </c>
      <c r="I91" s="4">
        <f>MAX(Table13[[#This Row],[v2cltort_nr]:[v2clrgwkch_nr]])</f>
        <v>5</v>
      </c>
      <c r="J91" s="4">
        <f>MAX(Table13[[#This Row],[v2clrgstch_nr]:[v2clrgwkch_nr]])</f>
        <v>4</v>
      </c>
      <c r="K91" s="4">
        <f>MAX(Table1[[#This Row],[v2elsnlfc_nr]:[v2elsnmrfc_nr]])</f>
        <v>3</v>
      </c>
    </row>
    <row r="92" spans="1:11" x14ac:dyDescent="0.35">
      <c r="A92" s="1">
        <v>1990</v>
      </c>
      <c r="B92">
        <f>AVERAGE(Table1[[#This Row],[v2eldonate_nr]:[v2elffelrbin_nr]])</f>
        <v>6.7142857142857144</v>
      </c>
      <c r="C92">
        <f>AVERAGE(Table1[[#This Row],[v2elsnlfc_nr]:[v2elsnmrfc_nr]])</f>
        <v>2.5</v>
      </c>
      <c r="D92">
        <f>Table1[[#This Row],[v2el_avg]]-Table1[[#This Row],[v2elsn_avg]]</f>
        <v>4.2142857142857144</v>
      </c>
      <c r="E92">
        <f>AVERAGE(Table13[[#This Row],[v2cltort_nr]:[v2clprptyw_nr]])</f>
        <v>5</v>
      </c>
      <c r="F92">
        <f>AVERAGE(Table13[[#This Row],[v2clrgstch_nr]:[v2clrgwkch_nr]])</f>
        <v>4</v>
      </c>
      <c r="G92">
        <f>Table13[[#This Row],[v2cl_avg]]-Table13[[#This Row],[v2clsn_avg]]</f>
        <v>1</v>
      </c>
      <c r="H92" s="4">
        <f>MAX(Table1[[#This Row],[v2eldonate_nr]:[v2elsnmrfc_nr]])</f>
        <v>7</v>
      </c>
      <c r="I92" s="4">
        <f>MAX(Table13[[#This Row],[v2cltort_nr]:[v2clrgwkch_nr]])</f>
        <v>5</v>
      </c>
      <c r="J92" s="4">
        <f>MAX(Table13[[#This Row],[v2clrgstch_nr]:[v2clrgwkch_nr]])</f>
        <v>4</v>
      </c>
      <c r="K92" s="4">
        <f>MAX(Table1[[#This Row],[v2elsnlfc_nr]:[v2elsnmrfc_nr]])</f>
        <v>3</v>
      </c>
    </row>
    <row r="93" spans="1:11" x14ac:dyDescent="0.35">
      <c r="A93" s="2">
        <v>1991</v>
      </c>
      <c r="B93">
        <f>AVERAGE(Table1[[#This Row],[v2eldonate_nr]:[v2elffelrbin_nr]])</f>
        <v>6.333333333333333</v>
      </c>
      <c r="C93">
        <f>AVERAGE(Table1[[#This Row],[v2elsnlfc_nr]:[v2elsnmrfc_nr]])</f>
        <v>3</v>
      </c>
      <c r="D93">
        <f>Table1[[#This Row],[v2el_avg]]-Table1[[#This Row],[v2elsn_avg]]</f>
        <v>3.333333333333333</v>
      </c>
      <c r="E93">
        <f>AVERAGE(Table13[[#This Row],[v2cltort_nr]:[v2clprptyw_nr]])</f>
        <v>5</v>
      </c>
      <c r="F93">
        <f>AVERAGE(Table13[[#This Row],[v2clrgstch_nr]:[v2clrgwkch_nr]])</f>
        <v>4</v>
      </c>
      <c r="G93">
        <f>Table13[[#This Row],[v2cl_avg]]-Table13[[#This Row],[v2clsn_avg]]</f>
        <v>1</v>
      </c>
      <c r="H93" s="4">
        <f>MAX(Table1[[#This Row],[v2eldonate_nr]:[v2elsnmrfc_nr]])</f>
        <v>7</v>
      </c>
      <c r="I93" s="4">
        <f>MAX(Table13[[#This Row],[v2cltort_nr]:[v2clrgwkch_nr]])</f>
        <v>5</v>
      </c>
      <c r="J93" s="4">
        <f>MAX(Table13[[#This Row],[v2clrgstch_nr]:[v2clrgwkch_nr]])</f>
        <v>4</v>
      </c>
      <c r="K93" s="4">
        <f>MAX(Table1[[#This Row],[v2elsnlfc_nr]:[v2elsnmrfc_nr]])</f>
        <v>3</v>
      </c>
    </row>
    <row r="94" spans="1:11" x14ac:dyDescent="0.35">
      <c r="A94" s="1">
        <v>1992</v>
      </c>
      <c r="B94">
        <f>AVERAGE(Table1[[#This Row],[v2eldonate_nr]:[v2elffelrbin_nr]])</f>
        <v>5.125</v>
      </c>
      <c r="C94">
        <f>AVERAGE(Table1[[#This Row],[v2elsnlfc_nr]:[v2elsnmrfc_nr]])</f>
        <v>3</v>
      </c>
      <c r="D94">
        <f>Table1[[#This Row],[v2el_avg]]-Table1[[#This Row],[v2elsn_avg]]</f>
        <v>2.125</v>
      </c>
      <c r="E94">
        <f>AVERAGE(Table13[[#This Row],[v2cltort_nr]:[v2clprptyw_nr]])</f>
        <v>5</v>
      </c>
      <c r="F94">
        <f>AVERAGE(Table13[[#This Row],[v2clrgstch_nr]:[v2clrgwkch_nr]])</f>
        <v>4</v>
      </c>
      <c r="G94">
        <f>Table13[[#This Row],[v2cl_avg]]-Table13[[#This Row],[v2clsn_avg]]</f>
        <v>1</v>
      </c>
      <c r="H94" s="4">
        <f>MAX(Table1[[#This Row],[v2eldonate_nr]:[v2elsnmrfc_nr]])</f>
        <v>7</v>
      </c>
      <c r="I94" s="4">
        <f>MAX(Table13[[#This Row],[v2cltort_nr]:[v2clrgwkch_nr]])</f>
        <v>5</v>
      </c>
      <c r="J94" s="4">
        <f>MAX(Table13[[#This Row],[v2clrgstch_nr]:[v2clrgwkch_nr]])</f>
        <v>4</v>
      </c>
      <c r="K94" s="4">
        <f>MAX(Table1[[#This Row],[v2elsnlfc_nr]:[v2elsnmrfc_nr]])</f>
        <v>3</v>
      </c>
    </row>
    <row r="95" spans="1:11" x14ac:dyDescent="0.35">
      <c r="A95" s="2">
        <v>1993</v>
      </c>
      <c r="B95">
        <f>AVERAGE(Table1[[#This Row],[v2eldonate_nr]:[v2elffelrbin_nr]])</f>
        <v>5</v>
      </c>
      <c r="C95">
        <f>AVERAGE(Table1[[#This Row],[v2elsnlfc_nr]:[v2elsnmrfc_nr]])</f>
        <v>3</v>
      </c>
      <c r="D95">
        <f>Table1[[#This Row],[v2el_avg]]-Table1[[#This Row],[v2elsn_avg]]</f>
        <v>2</v>
      </c>
      <c r="E95">
        <f>AVERAGE(Table13[[#This Row],[v2cltort_nr]:[v2clprptyw_nr]])</f>
        <v>5</v>
      </c>
      <c r="F95">
        <f>AVERAGE(Table13[[#This Row],[v2clrgstch_nr]:[v2clrgwkch_nr]])</f>
        <v>4</v>
      </c>
      <c r="G95">
        <f>Table13[[#This Row],[v2cl_avg]]-Table13[[#This Row],[v2clsn_avg]]</f>
        <v>1</v>
      </c>
      <c r="H95" s="4">
        <f>MAX(Table1[[#This Row],[v2eldonate_nr]:[v2elsnmrfc_nr]])</f>
        <v>7</v>
      </c>
      <c r="I95" s="4">
        <f>MAX(Table13[[#This Row],[v2cltort_nr]:[v2clrgwkch_nr]])</f>
        <v>5</v>
      </c>
      <c r="J95" s="4">
        <f>MAX(Table13[[#This Row],[v2clrgstch_nr]:[v2clrgwkch_nr]])</f>
        <v>4</v>
      </c>
      <c r="K95" s="4">
        <f>MAX(Table1[[#This Row],[v2elsnlfc_nr]:[v2elsnmrfc_nr]])</f>
        <v>3</v>
      </c>
    </row>
    <row r="96" spans="1:11" x14ac:dyDescent="0.35">
      <c r="A96" s="1">
        <v>1994</v>
      </c>
      <c r="B96">
        <f>AVERAGE(Table1[[#This Row],[v2eldonate_nr]:[v2elffelrbin_nr]])</f>
        <v>6.5714285714285712</v>
      </c>
      <c r="C96">
        <f>AVERAGE(Table1[[#This Row],[v2elsnlfc_nr]:[v2elsnmrfc_nr]])</f>
        <v>3</v>
      </c>
      <c r="D96">
        <f>Table1[[#This Row],[v2el_avg]]-Table1[[#This Row],[v2elsn_avg]]</f>
        <v>3.5714285714285712</v>
      </c>
      <c r="E96">
        <f>AVERAGE(Table13[[#This Row],[v2cltort_nr]:[v2clprptyw_nr]])</f>
        <v>5</v>
      </c>
      <c r="F96">
        <f>AVERAGE(Table13[[#This Row],[v2clrgstch_nr]:[v2clrgwkch_nr]])</f>
        <v>4</v>
      </c>
      <c r="G96">
        <f>Table13[[#This Row],[v2cl_avg]]-Table13[[#This Row],[v2clsn_avg]]</f>
        <v>1</v>
      </c>
      <c r="H96" s="4">
        <f>MAX(Table1[[#This Row],[v2eldonate_nr]:[v2elsnmrfc_nr]])</f>
        <v>7</v>
      </c>
      <c r="I96" s="4">
        <f>MAX(Table13[[#This Row],[v2cltort_nr]:[v2clrgwkch_nr]])</f>
        <v>5</v>
      </c>
      <c r="J96" s="4">
        <f>MAX(Table13[[#This Row],[v2clrgstch_nr]:[v2clrgwkch_nr]])</f>
        <v>4</v>
      </c>
      <c r="K96" s="4">
        <f>MAX(Table1[[#This Row],[v2elsnlfc_nr]:[v2elsnmrfc_nr]])</f>
        <v>3</v>
      </c>
    </row>
    <row r="97" spans="1:11" x14ac:dyDescent="0.35">
      <c r="A97" s="2">
        <v>1995</v>
      </c>
      <c r="B97">
        <f>AVERAGE(Table1[[#This Row],[v2eldonate_nr]:[v2elffelrbin_nr]])</f>
        <v>5</v>
      </c>
      <c r="C97">
        <f>AVERAGE(Table1[[#This Row],[v2elsnlfc_nr]:[v2elsnmrfc_nr]])</f>
        <v>3</v>
      </c>
      <c r="D97">
        <f>Table1[[#This Row],[v2el_avg]]-Table1[[#This Row],[v2elsn_avg]]</f>
        <v>2</v>
      </c>
      <c r="E97">
        <f>AVERAGE(Table13[[#This Row],[v2cltort_nr]:[v2clprptyw_nr]])</f>
        <v>5</v>
      </c>
      <c r="F97">
        <f>AVERAGE(Table13[[#This Row],[v2clrgstch_nr]:[v2clrgwkch_nr]])</f>
        <v>4</v>
      </c>
      <c r="G97">
        <f>Table13[[#This Row],[v2cl_avg]]-Table13[[#This Row],[v2clsn_avg]]</f>
        <v>1</v>
      </c>
      <c r="H97" s="4">
        <f>MAX(Table1[[#This Row],[v2eldonate_nr]:[v2elsnmrfc_nr]])</f>
        <v>7</v>
      </c>
      <c r="I97" s="4">
        <f>MAX(Table13[[#This Row],[v2cltort_nr]:[v2clrgwkch_nr]])</f>
        <v>5</v>
      </c>
      <c r="J97" s="4">
        <f>MAX(Table13[[#This Row],[v2clrgstch_nr]:[v2clrgwkch_nr]])</f>
        <v>4</v>
      </c>
      <c r="K97" s="4">
        <f>MAX(Table1[[#This Row],[v2elsnlfc_nr]:[v2elsnmrfc_nr]])</f>
        <v>3</v>
      </c>
    </row>
    <row r="98" spans="1:11" x14ac:dyDescent="0.35">
      <c r="A98" s="1">
        <v>1996</v>
      </c>
      <c r="B98">
        <f>AVERAGE(Table1[[#This Row],[v2eldonate_nr]:[v2elffelrbin_nr]])</f>
        <v>5</v>
      </c>
      <c r="C98">
        <f>AVERAGE(Table1[[#This Row],[v2elsnlfc_nr]:[v2elsnmrfc_nr]])</f>
        <v>3</v>
      </c>
      <c r="D98">
        <f>Table1[[#This Row],[v2el_avg]]-Table1[[#This Row],[v2elsn_avg]]</f>
        <v>2</v>
      </c>
      <c r="E98">
        <f>AVERAGE(Table13[[#This Row],[v2cltort_nr]:[v2clprptyw_nr]])</f>
        <v>5</v>
      </c>
      <c r="F98">
        <f>AVERAGE(Table13[[#This Row],[v2clrgstch_nr]:[v2clrgwkch_nr]])</f>
        <v>4</v>
      </c>
      <c r="G98">
        <f>Table13[[#This Row],[v2cl_avg]]-Table13[[#This Row],[v2clsn_avg]]</f>
        <v>1</v>
      </c>
      <c r="H98" s="4">
        <f>MAX(Table1[[#This Row],[v2eldonate_nr]:[v2elsnmrfc_nr]])</f>
        <v>7</v>
      </c>
      <c r="I98" s="4">
        <f>MAX(Table13[[#This Row],[v2cltort_nr]:[v2clrgwkch_nr]])</f>
        <v>5</v>
      </c>
      <c r="J98" s="4">
        <f>MAX(Table13[[#This Row],[v2clrgstch_nr]:[v2clrgwkch_nr]])</f>
        <v>4</v>
      </c>
      <c r="K98" s="4">
        <f>MAX(Table1[[#This Row],[v2elsnlfc_nr]:[v2elsnmrfc_nr]])</f>
        <v>3</v>
      </c>
    </row>
    <row r="99" spans="1:11" x14ac:dyDescent="0.35">
      <c r="A99" s="2">
        <v>1997</v>
      </c>
      <c r="B99">
        <f>AVERAGE(Table1[[#This Row],[v2eldonate_nr]:[v2elffelrbin_nr]])</f>
        <v>5.125</v>
      </c>
      <c r="C99">
        <f>AVERAGE(Table1[[#This Row],[v2elsnlfc_nr]:[v2elsnmrfc_nr]])</f>
        <v>3</v>
      </c>
      <c r="D99">
        <f>Table1[[#This Row],[v2el_avg]]-Table1[[#This Row],[v2elsn_avg]]</f>
        <v>2.125</v>
      </c>
      <c r="E99">
        <f>AVERAGE(Table13[[#This Row],[v2cltort_nr]:[v2clprptyw_nr]])</f>
        <v>5</v>
      </c>
      <c r="F99">
        <f>AVERAGE(Table13[[#This Row],[v2clrgstch_nr]:[v2clrgwkch_nr]])</f>
        <v>4</v>
      </c>
      <c r="G99">
        <f>Table13[[#This Row],[v2cl_avg]]-Table13[[#This Row],[v2clsn_avg]]</f>
        <v>1</v>
      </c>
      <c r="H99" s="4">
        <f>MAX(Table1[[#This Row],[v2eldonate_nr]:[v2elsnmrfc_nr]])</f>
        <v>7</v>
      </c>
      <c r="I99" s="4">
        <f>MAX(Table13[[#This Row],[v2cltort_nr]:[v2clrgwkch_nr]])</f>
        <v>5</v>
      </c>
      <c r="J99" s="4">
        <f>MAX(Table13[[#This Row],[v2clrgstch_nr]:[v2clrgwkch_nr]])</f>
        <v>4</v>
      </c>
      <c r="K99" s="4">
        <f>MAX(Table1[[#This Row],[v2elsnlfc_nr]:[v2elsnmrfc_nr]])</f>
        <v>3</v>
      </c>
    </row>
    <row r="100" spans="1:11" x14ac:dyDescent="0.35">
      <c r="A100" s="1">
        <v>1998</v>
      </c>
      <c r="B100">
        <f>AVERAGE(Table1[[#This Row],[v2eldonate_nr]:[v2elffelrbin_nr]])</f>
        <v>6.5238095238095237</v>
      </c>
      <c r="C100">
        <f>AVERAGE(Table1[[#This Row],[v2elsnlfc_nr]:[v2elsnmrfc_nr]])</f>
        <v>3</v>
      </c>
      <c r="D100">
        <f>Table1[[#This Row],[v2el_avg]]-Table1[[#This Row],[v2elsn_avg]]</f>
        <v>3.5238095238095237</v>
      </c>
      <c r="E100">
        <f>AVERAGE(Table13[[#This Row],[v2cltort_nr]:[v2clprptyw_nr]])</f>
        <v>5</v>
      </c>
      <c r="F100">
        <f>AVERAGE(Table13[[#This Row],[v2clrgstch_nr]:[v2clrgwkch_nr]])</f>
        <v>4</v>
      </c>
      <c r="G100">
        <f>Table13[[#This Row],[v2cl_avg]]-Table13[[#This Row],[v2clsn_avg]]</f>
        <v>1</v>
      </c>
      <c r="H100" s="4">
        <f>MAX(Table1[[#This Row],[v2eldonate_nr]:[v2elsnmrfc_nr]])</f>
        <v>7</v>
      </c>
      <c r="I100" s="4">
        <f>MAX(Table13[[#This Row],[v2cltort_nr]:[v2clrgwkch_nr]])</f>
        <v>5</v>
      </c>
      <c r="J100" s="4">
        <f>MAX(Table13[[#This Row],[v2clrgstch_nr]:[v2clrgwkch_nr]])</f>
        <v>4</v>
      </c>
      <c r="K100" s="4">
        <f>MAX(Table1[[#This Row],[v2elsnlfc_nr]:[v2elsnmrfc_nr]])</f>
        <v>3</v>
      </c>
    </row>
    <row r="101" spans="1:11" x14ac:dyDescent="0.35">
      <c r="A101" s="2">
        <v>1999</v>
      </c>
      <c r="B101">
        <f>AVERAGE(Table1[[#This Row],[v2eldonate_nr]:[v2elffelrbin_nr]])</f>
        <v>5</v>
      </c>
      <c r="C101">
        <f>AVERAGE(Table1[[#This Row],[v2elsnlfc_nr]:[v2elsnmrfc_nr]])</f>
        <v>3</v>
      </c>
      <c r="D101">
        <f>Table1[[#This Row],[v2el_avg]]-Table1[[#This Row],[v2elsn_avg]]</f>
        <v>2</v>
      </c>
      <c r="E101">
        <f>AVERAGE(Table13[[#This Row],[v2cltort_nr]:[v2clprptyw_nr]])</f>
        <v>5</v>
      </c>
      <c r="F101">
        <f>AVERAGE(Table13[[#This Row],[v2clrgstch_nr]:[v2clrgwkch_nr]])</f>
        <v>4</v>
      </c>
      <c r="G101">
        <f>Table13[[#This Row],[v2cl_avg]]-Table13[[#This Row],[v2clsn_avg]]</f>
        <v>1</v>
      </c>
      <c r="H101" s="4">
        <f>MAX(Table1[[#This Row],[v2eldonate_nr]:[v2elsnmrfc_nr]])</f>
        <v>7</v>
      </c>
      <c r="I101" s="4">
        <f>MAX(Table13[[#This Row],[v2cltort_nr]:[v2clrgwkch_nr]])</f>
        <v>5</v>
      </c>
      <c r="J101" s="4">
        <f>MAX(Table13[[#This Row],[v2clrgstch_nr]:[v2clrgwkch_nr]])</f>
        <v>4</v>
      </c>
      <c r="K101" s="4">
        <f>MAX(Table1[[#This Row],[v2elsnlfc_nr]:[v2elsnmrfc_nr]])</f>
        <v>3</v>
      </c>
    </row>
    <row r="102" spans="1:11" x14ac:dyDescent="0.35">
      <c r="A102" s="1">
        <v>2000</v>
      </c>
      <c r="B102">
        <f>AVERAGE(Table1[[#This Row],[v2eldonate_nr]:[v2elffelrbin_nr]])</f>
        <v>5.125</v>
      </c>
      <c r="C102">
        <f>AVERAGE(Table1[[#This Row],[v2elsnlfc_nr]:[v2elsnmrfc_nr]])</f>
        <v>3</v>
      </c>
      <c r="D102">
        <f>Table1[[#This Row],[v2el_avg]]-Table1[[#This Row],[v2elsn_avg]]</f>
        <v>2.125</v>
      </c>
      <c r="E102">
        <f>AVERAGE(Table13[[#This Row],[v2cltort_nr]:[v2clprptyw_nr]])</f>
        <v>5</v>
      </c>
      <c r="F102">
        <f>AVERAGE(Table13[[#This Row],[v2clrgstch_nr]:[v2clrgwkch_nr]])</f>
        <v>4</v>
      </c>
      <c r="G102">
        <f>Table13[[#This Row],[v2cl_avg]]-Table13[[#This Row],[v2clsn_avg]]</f>
        <v>1</v>
      </c>
      <c r="H102" s="4">
        <f>MAX(Table1[[#This Row],[v2eldonate_nr]:[v2elsnmrfc_nr]])</f>
        <v>7</v>
      </c>
      <c r="I102" s="4">
        <f>MAX(Table13[[#This Row],[v2cltort_nr]:[v2clrgwkch_nr]])</f>
        <v>5</v>
      </c>
      <c r="J102" s="4">
        <f>MAX(Table13[[#This Row],[v2clrgstch_nr]:[v2clrgwkch_nr]])</f>
        <v>4</v>
      </c>
      <c r="K102" s="4">
        <f>MAX(Table1[[#This Row],[v2elsnlfc_nr]:[v2elsnmrfc_nr]])</f>
        <v>3</v>
      </c>
    </row>
    <row r="103" spans="1:11" x14ac:dyDescent="0.35">
      <c r="A103" s="2">
        <v>2001</v>
      </c>
      <c r="B103">
        <f>AVERAGE(Table1[[#This Row],[v2eldonate_nr]:[v2elffelrbin_nr]])</f>
        <v>6</v>
      </c>
      <c r="C103">
        <f>AVERAGE(Table1[[#This Row],[v2elsnlfc_nr]:[v2elsnmrfc_nr]])</f>
        <v>3</v>
      </c>
      <c r="D103">
        <f>Table1[[#This Row],[v2el_avg]]-Table1[[#This Row],[v2elsn_avg]]</f>
        <v>3</v>
      </c>
      <c r="E103">
        <f>AVERAGE(Table13[[#This Row],[v2cltort_nr]:[v2clprptyw_nr]])</f>
        <v>5</v>
      </c>
      <c r="F103">
        <f>AVERAGE(Table13[[#This Row],[v2clrgstch_nr]:[v2clrgwkch_nr]])</f>
        <v>4</v>
      </c>
      <c r="G103">
        <f>Table13[[#This Row],[v2cl_avg]]-Table13[[#This Row],[v2clsn_avg]]</f>
        <v>1</v>
      </c>
      <c r="H103" s="4">
        <f>MAX(Table1[[#This Row],[v2eldonate_nr]:[v2elsnmrfc_nr]])</f>
        <v>7</v>
      </c>
      <c r="I103" s="4">
        <f>MAX(Table13[[#This Row],[v2cltort_nr]:[v2clrgwkch_nr]])</f>
        <v>5</v>
      </c>
      <c r="J103" s="4">
        <f>MAX(Table13[[#This Row],[v2clrgstch_nr]:[v2clrgwkch_nr]])</f>
        <v>4</v>
      </c>
      <c r="K103" s="4">
        <f>MAX(Table1[[#This Row],[v2elsnlfc_nr]:[v2elsnmrfc_nr]])</f>
        <v>3</v>
      </c>
    </row>
    <row r="104" spans="1:11" x14ac:dyDescent="0.35">
      <c r="A104" s="1">
        <v>2002</v>
      </c>
      <c r="B104">
        <f>AVERAGE(Table1[[#This Row],[v2eldonate_nr]:[v2elffelrbin_nr]])</f>
        <v>6.2380952380952381</v>
      </c>
      <c r="C104">
        <f>AVERAGE(Table1[[#This Row],[v2elsnlfc_nr]:[v2elsnmrfc_nr]])</f>
        <v>3</v>
      </c>
      <c r="D104">
        <f>Table1[[#This Row],[v2el_avg]]-Table1[[#This Row],[v2elsn_avg]]</f>
        <v>3.2380952380952381</v>
      </c>
      <c r="E104">
        <f>AVERAGE(Table13[[#This Row],[v2cltort_nr]:[v2clprptyw_nr]])</f>
        <v>5</v>
      </c>
      <c r="F104">
        <f>AVERAGE(Table13[[#This Row],[v2clrgstch_nr]:[v2clrgwkch_nr]])</f>
        <v>4</v>
      </c>
      <c r="G104">
        <f>Table13[[#This Row],[v2cl_avg]]-Table13[[#This Row],[v2clsn_avg]]</f>
        <v>1</v>
      </c>
      <c r="H104" s="4">
        <f>MAX(Table1[[#This Row],[v2eldonate_nr]:[v2elsnmrfc_nr]])</f>
        <v>7</v>
      </c>
      <c r="I104" s="4">
        <f>MAX(Table13[[#This Row],[v2cltort_nr]:[v2clrgwkch_nr]])</f>
        <v>5</v>
      </c>
      <c r="J104" s="4">
        <f>MAX(Table13[[#This Row],[v2clrgstch_nr]:[v2clrgwkch_nr]])</f>
        <v>4</v>
      </c>
      <c r="K104" s="4">
        <f>MAX(Table1[[#This Row],[v2elsnlfc_nr]:[v2elsnmrfc_nr]])</f>
        <v>3</v>
      </c>
    </row>
    <row r="105" spans="1:11" x14ac:dyDescent="0.35">
      <c r="A105" s="2">
        <v>2003</v>
      </c>
      <c r="B105">
        <f>AVERAGE(Table1[[#This Row],[v2eldonate_nr]:[v2elffelrbin_nr]])</f>
        <v>5.25</v>
      </c>
      <c r="C105">
        <f>AVERAGE(Table1[[#This Row],[v2elsnlfc_nr]:[v2elsnmrfc_nr]])</f>
        <v>3</v>
      </c>
      <c r="D105">
        <f>Table1[[#This Row],[v2el_avg]]-Table1[[#This Row],[v2elsn_avg]]</f>
        <v>2.25</v>
      </c>
      <c r="E105">
        <f>AVERAGE(Table13[[#This Row],[v2cltort_nr]:[v2clprptyw_nr]])</f>
        <v>5</v>
      </c>
      <c r="F105">
        <f>AVERAGE(Table13[[#This Row],[v2clrgstch_nr]:[v2clrgwkch_nr]])</f>
        <v>4</v>
      </c>
      <c r="G105">
        <f>Table13[[#This Row],[v2cl_avg]]-Table13[[#This Row],[v2clsn_avg]]</f>
        <v>1</v>
      </c>
      <c r="H105" s="4">
        <f>MAX(Table1[[#This Row],[v2eldonate_nr]:[v2elsnmrfc_nr]])</f>
        <v>7</v>
      </c>
      <c r="I105" s="4">
        <f>MAX(Table13[[#This Row],[v2cltort_nr]:[v2clrgwkch_nr]])</f>
        <v>5</v>
      </c>
      <c r="J105" s="4">
        <f>MAX(Table13[[#This Row],[v2clrgstch_nr]:[v2clrgwkch_nr]])</f>
        <v>4</v>
      </c>
      <c r="K105" s="4">
        <f>MAX(Table1[[#This Row],[v2elsnlfc_nr]:[v2elsnmrfc_nr]])</f>
        <v>3</v>
      </c>
    </row>
    <row r="106" spans="1:11" x14ac:dyDescent="0.35">
      <c r="A106" s="1">
        <v>2004</v>
      </c>
      <c r="B106">
        <f>AVERAGE(Table1[[#This Row],[v2eldonate_nr]:[v2elffelrbin_nr]])</f>
        <v>5.125</v>
      </c>
      <c r="C106">
        <f>AVERAGE(Table1[[#This Row],[v2elsnlfc_nr]:[v2elsnmrfc_nr]])</f>
        <v>3</v>
      </c>
      <c r="D106">
        <f>Table1[[#This Row],[v2el_avg]]-Table1[[#This Row],[v2elsn_avg]]</f>
        <v>2.125</v>
      </c>
      <c r="E106">
        <f>AVERAGE(Table13[[#This Row],[v2cltort_nr]:[v2clprptyw_nr]])</f>
        <v>5</v>
      </c>
      <c r="F106">
        <f>AVERAGE(Table13[[#This Row],[v2clrgstch_nr]:[v2clrgwkch_nr]])</f>
        <v>4</v>
      </c>
      <c r="G106">
        <f>Table13[[#This Row],[v2cl_avg]]-Table13[[#This Row],[v2clsn_avg]]</f>
        <v>1</v>
      </c>
      <c r="H106" s="4">
        <f>MAX(Table1[[#This Row],[v2eldonate_nr]:[v2elsnmrfc_nr]])</f>
        <v>7</v>
      </c>
      <c r="I106" s="4">
        <f>MAX(Table13[[#This Row],[v2cltort_nr]:[v2clrgwkch_nr]])</f>
        <v>5</v>
      </c>
      <c r="J106" s="4">
        <f>MAX(Table13[[#This Row],[v2clrgstch_nr]:[v2clrgwkch_nr]])</f>
        <v>4</v>
      </c>
      <c r="K106" s="4">
        <f>MAX(Table1[[#This Row],[v2elsnlfc_nr]:[v2elsnmrfc_nr]])</f>
        <v>3</v>
      </c>
    </row>
    <row r="107" spans="1:11" x14ac:dyDescent="0.35">
      <c r="A107" s="2">
        <v>2005</v>
      </c>
      <c r="B107">
        <f>AVERAGE(Table1[[#This Row],[v2eldonate_nr]:[v2elffelrbin_nr]])</f>
        <v>15.375</v>
      </c>
      <c r="C107">
        <f>AVERAGE(Table1[[#This Row],[v2elsnlfc_nr]:[v2elsnmrfc_nr]])</f>
        <v>9</v>
      </c>
      <c r="D107">
        <f>Table1[[#This Row],[v2el_avg]]-Table1[[#This Row],[v2elsn_avg]]</f>
        <v>6.375</v>
      </c>
      <c r="E107">
        <f>AVERAGE(Table13[[#This Row],[v2cltort_nr]:[v2clprptyw_nr]])</f>
        <v>13.772727272727273</v>
      </c>
      <c r="F107">
        <f>AVERAGE(Table13[[#This Row],[v2clrgstch_nr]:[v2clrgwkch_nr]])</f>
        <v>12.5</v>
      </c>
      <c r="G107">
        <f>Table13[[#This Row],[v2cl_avg]]-Table13[[#This Row],[v2clsn_avg]]</f>
        <v>1.2727272727272734</v>
      </c>
      <c r="H107" s="4">
        <f>MAX(Table1[[#This Row],[v2eldonate_nr]:[v2elsnmrfc_nr]])</f>
        <v>17</v>
      </c>
      <c r="I107" s="4">
        <f>MAX(Table13[[#This Row],[v2cltort_nr]:[v2clrgwkch_nr]])</f>
        <v>14</v>
      </c>
      <c r="J107" s="4">
        <f>MAX(Table13[[#This Row],[v2clrgstch_nr]:[v2clrgwkch_nr]])</f>
        <v>13</v>
      </c>
      <c r="K107" s="4">
        <f>MAX(Table1[[#This Row],[v2elsnlfc_nr]:[v2elsnmrfc_nr]])</f>
        <v>9</v>
      </c>
    </row>
    <row r="108" spans="1:11" x14ac:dyDescent="0.35">
      <c r="A108" s="1">
        <v>2006</v>
      </c>
      <c r="B108">
        <f>AVERAGE(Table1[[#This Row],[v2eldonate_nr]:[v2elffelrbin_nr]])</f>
        <v>17.61904761904762</v>
      </c>
      <c r="C108">
        <f>AVERAGE(Table1[[#This Row],[v2elsnlfc_nr]:[v2elsnmrfc_nr]])</f>
        <v>9</v>
      </c>
      <c r="D108">
        <f>Table1[[#This Row],[v2el_avg]]-Table1[[#This Row],[v2elsn_avg]]</f>
        <v>8.6190476190476204</v>
      </c>
      <c r="E108">
        <f>AVERAGE(Table13[[#This Row],[v2cltort_nr]:[v2clprptyw_nr]])</f>
        <v>13.772727272727273</v>
      </c>
      <c r="F108">
        <f>AVERAGE(Table13[[#This Row],[v2clrgstch_nr]:[v2clrgwkch_nr]])</f>
        <v>12.5</v>
      </c>
      <c r="G108">
        <f>Table13[[#This Row],[v2cl_avg]]-Table13[[#This Row],[v2clsn_avg]]</f>
        <v>1.2727272727272734</v>
      </c>
      <c r="H108" s="4">
        <f>MAX(Table1[[#This Row],[v2eldonate_nr]:[v2elsnmrfc_nr]])</f>
        <v>18</v>
      </c>
      <c r="I108" s="4">
        <f>MAX(Table13[[#This Row],[v2cltort_nr]:[v2clrgwkch_nr]])</f>
        <v>14</v>
      </c>
      <c r="J108" s="4">
        <f>MAX(Table13[[#This Row],[v2clrgstch_nr]:[v2clrgwkch_nr]])</f>
        <v>13</v>
      </c>
      <c r="K108" s="4">
        <f>MAX(Table1[[#This Row],[v2elsnlfc_nr]:[v2elsnmrfc_nr]])</f>
        <v>9</v>
      </c>
    </row>
    <row r="109" spans="1:11" x14ac:dyDescent="0.35">
      <c r="A109" s="2">
        <v>2007</v>
      </c>
      <c r="B109">
        <f>AVERAGE(Table1[[#This Row],[v2eldonate_nr]:[v2elffelrbin_nr]])</f>
        <v>16.125</v>
      </c>
      <c r="C109">
        <f>AVERAGE(Table1[[#This Row],[v2elsnlfc_nr]:[v2elsnmrfc_nr]])</f>
        <v>11.5</v>
      </c>
      <c r="D109">
        <f>Table1[[#This Row],[v2el_avg]]-Table1[[#This Row],[v2elsn_avg]]</f>
        <v>4.625</v>
      </c>
      <c r="E109">
        <f>AVERAGE(Table13[[#This Row],[v2cltort_nr]:[v2clprptyw_nr]])</f>
        <v>13.772727272727273</v>
      </c>
      <c r="F109">
        <f>AVERAGE(Table13[[#This Row],[v2clrgstch_nr]:[v2clrgwkch_nr]])</f>
        <v>12.5</v>
      </c>
      <c r="G109">
        <f>Table13[[#This Row],[v2cl_avg]]-Table13[[#This Row],[v2clsn_avg]]</f>
        <v>1.2727272727272734</v>
      </c>
      <c r="H109" s="4">
        <f>MAX(Table1[[#This Row],[v2eldonate_nr]:[v2elsnmrfc_nr]])</f>
        <v>18</v>
      </c>
      <c r="I109" s="4">
        <f>MAX(Table13[[#This Row],[v2cltort_nr]:[v2clrgwkch_nr]])</f>
        <v>14</v>
      </c>
      <c r="J109" s="4">
        <f>MAX(Table13[[#This Row],[v2clrgstch_nr]:[v2clrgwkch_nr]])</f>
        <v>13</v>
      </c>
      <c r="K109" s="4">
        <f>MAX(Table1[[#This Row],[v2elsnlfc_nr]:[v2elsnmrfc_nr]])</f>
        <v>12</v>
      </c>
    </row>
    <row r="110" spans="1:11" x14ac:dyDescent="0.35">
      <c r="A110" s="1">
        <v>2008</v>
      </c>
      <c r="B110">
        <f>AVERAGE(Table1[[#This Row],[v2eldonate_nr]:[v2elffelrbin_nr]])</f>
        <v>15.5</v>
      </c>
      <c r="C110">
        <f>AVERAGE(Table1[[#This Row],[v2elsnlfc_nr]:[v2elsnmrfc_nr]])</f>
        <v>9</v>
      </c>
      <c r="D110">
        <f>Table1[[#This Row],[v2el_avg]]-Table1[[#This Row],[v2elsn_avg]]</f>
        <v>6.5</v>
      </c>
      <c r="E110">
        <f>AVERAGE(Table13[[#This Row],[v2cltort_nr]:[v2clprptyw_nr]])</f>
        <v>13.772727272727273</v>
      </c>
      <c r="F110">
        <f>AVERAGE(Table13[[#This Row],[v2clrgstch_nr]:[v2clrgwkch_nr]])</f>
        <v>12.5</v>
      </c>
      <c r="G110">
        <f>Table13[[#This Row],[v2cl_avg]]-Table13[[#This Row],[v2clsn_avg]]</f>
        <v>1.2727272727272734</v>
      </c>
      <c r="H110" s="4">
        <f>MAX(Table1[[#This Row],[v2eldonate_nr]:[v2elsnmrfc_nr]])</f>
        <v>17</v>
      </c>
      <c r="I110" s="4">
        <f>MAX(Table13[[#This Row],[v2cltort_nr]:[v2clrgwkch_nr]])</f>
        <v>14</v>
      </c>
      <c r="J110" s="4">
        <f>MAX(Table13[[#This Row],[v2clrgstch_nr]:[v2clrgwkch_nr]])</f>
        <v>13</v>
      </c>
      <c r="K110" s="4">
        <f>MAX(Table1[[#This Row],[v2elsnlfc_nr]:[v2elsnmrfc_nr]])</f>
        <v>9</v>
      </c>
    </row>
    <row r="111" spans="1:11" x14ac:dyDescent="0.35">
      <c r="A111" s="2">
        <v>2009</v>
      </c>
      <c r="B111">
        <f>AVERAGE(Table1[[#This Row],[v2eldonate_nr]:[v2elffelrbin_nr]])</f>
        <v>15.5</v>
      </c>
      <c r="C111">
        <f>AVERAGE(Table1[[#This Row],[v2elsnlfc_nr]:[v2elsnmrfc_nr]])</f>
        <v>9</v>
      </c>
      <c r="D111">
        <f>Table1[[#This Row],[v2el_avg]]-Table1[[#This Row],[v2elsn_avg]]</f>
        <v>6.5</v>
      </c>
      <c r="E111">
        <f>AVERAGE(Table13[[#This Row],[v2cltort_nr]:[v2clprptyw_nr]])</f>
        <v>13.772727272727273</v>
      </c>
      <c r="F111">
        <f>AVERAGE(Table13[[#This Row],[v2clrgstch_nr]:[v2clrgwkch_nr]])</f>
        <v>12.5</v>
      </c>
      <c r="G111">
        <f>Table13[[#This Row],[v2cl_avg]]-Table13[[#This Row],[v2clsn_avg]]</f>
        <v>1.2727272727272734</v>
      </c>
      <c r="H111" s="4">
        <f>MAX(Table1[[#This Row],[v2eldonate_nr]:[v2elsnmrfc_nr]])</f>
        <v>17</v>
      </c>
      <c r="I111" s="4">
        <f>MAX(Table13[[#This Row],[v2cltort_nr]:[v2clrgwkch_nr]])</f>
        <v>14</v>
      </c>
      <c r="J111" s="4">
        <f>MAX(Table13[[#This Row],[v2clrgstch_nr]:[v2clrgwkch_nr]])</f>
        <v>13</v>
      </c>
      <c r="K111" s="4">
        <f>MAX(Table1[[#This Row],[v2elsnlfc_nr]:[v2elsnmrfc_nr]])</f>
        <v>9</v>
      </c>
    </row>
    <row r="112" spans="1:11" x14ac:dyDescent="0.35">
      <c r="A112" s="1">
        <v>2010</v>
      </c>
      <c r="B112">
        <f>AVERAGE(Table1[[#This Row],[v2eldonate_nr]:[v2elffelrbin_nr]])</f>
        <v>17.61904761904762</v>
      </c>
      <c r="C112">
        <f>AVERAGE(Table1[[#This Row],[v2elsnlfc_nr]:[v2elsnmrfc_nr]])</f>
        <v>9</v>
      </c>
      <c r="D112">
        <f>Table1[[#This Row],[v2el_avg]]-Table1[[#This Row],[v2elsn_avg]]</f>
        <v>8.6190476190476204</v>
      </c>
      <c r="E112">
        <f>AVERAGE(Table13[[#This Row],[v2cltort_nr]:[v2clprptyw_nr]])</f>
        <v>13.772727272727273</v>
      </c>
      <c r="F112">
        <f>AVERAGE(Table13[[#This Row],[v2clrgstch_nr]:[v2clrgwkch_nr]])</f>
        <v>12.5</v>
      </c>
      <c r="G112">
        <f>Table13[[#This Row],[v2cl_avg]]-Table13[[#This Row],[v2clsn_avg]]</f>
        <v>1.2727272727272734</v>
      </c>
      <c r="H112" s="4">
        <f>MAX(Table1[[#This Row],[v2eldonate_nr]:[v2elsnmrfc_nr]])</f>
        <v>18</v>
      </c>
      <c r="I112" s="4">
        <f>MAX(Table13[[#This Row],[v2cltort_nr]:[v2clrgwkch_nr]])</f>
        <v>14</v>
      </c>
      <c r="J112" s="4">
        <f>MAX(Table13[[#This Row],[v2clrgstch_nr]:[v2clrgwkch_nr]])</f>
        <v>13</v>
      </c>
      <c r="K112" s="4">
        <f>MAX(Table1[[#This Row],[v2elsnlfc_nr]:[v2elsnmrfc_nr]])</f>
        <v>9</v>
      </c>
    </row>
    <row r="113" spans="1:11" x14ac:dyDescent="0.35">
      <c r="A113" s="2">
        <v>2011</v>
      </c>
      <c r="B113">
        <f>AVERAGE(Table1[[#This Row],[v2eldonate_nr]:[v2elffelrbin_nr]])</f>
        <v>16.25</v>
      </c>
      <c r="C113">
        <f>AVERAGE(Table1[[#This Row],[v2elsnlfc_nr]:[v2elsnmrfc_nr]])</f>
        <v>11</v>
      </c>
      <c r="D113">
        <f>Table1[[#This Row],[v2el_avg]]-Table1[[#This Row],[v2elsn_avg]]</f>
        <v>5.25</v>
      </c>
      <c r="E113">
        <f>AVERAGE(Table13[[#This Row],[v2cltort_nr]:[v2clprptyw_nr]])</f>
        <v>13.772727272727273</v>
      </c>
      <c r="F113">
        <f>AVERAGE(Table13[[#This Row],[v2clrgstch_nr]:[v2clrgwkch_nr]])</f>
        <v>12.5</v>
      </c>
      <c r="G113">
        <f>Table13[[#This Row],[v2cl_avg]]-Table13[[#This Row],[v2clsn_avg]]</f>
        <v>1.2727272727272734</v>
      </c>
      <c r="H113" s="4">
        <f>MAX(Table1[[#This Row],[v2eldonate_nr]:[v2elsnmrfc_nr]])</f>
        <v>18</v>
      </c>
      <c r="I113" s="4">
        <f>MAX(Table13[[#This Row],[v2cltort_nr]:[v2clrgwkch_nr]])</f>
        <v>14</v>
      </c>
      <c r="J113" s="4">
        <f>MAX(Table13[[#This Row],[v2clrgstch_nr]:[v2clrgwkch_nr]])</f>
        <v>13</v>
      </c>
      <c r="K113" s="4">
        <f>MAX(Table1[[#This Row],[v2elsnlfc_nr]:[v2elsnmrfc_nr]])</f>
        <v>11</v>
      </c>
    </row>
    <row r="114" spans="1:11" x14ac:dyDescent="0.35">
      <c r="A114" s="1">
        <v>2012</v>
      </c>
      <c r="B114">
        <f>AVERAGE(Table1[[#This Row],[v2eldonate_nr]:[v2elffelrbin_nr]])</f>
        <v>15.625</v>
      </c>
      <c r="C114">
        <f>AVERAGE(Table1[[#This Row],[v2elsnlfc_nr]:[v2elsnmrfc_nr]])</f>
        <v>9</v>
      </c>
      <c r="D114">
        <f>Table1[[#This Row],[v2el_avg]]-Table1[[#This Row],[v2elsn_avg]]</f>
        <v>6.625</v>
      </c>
      <c r="E114">
        <f>AVERAGE(Table13[[#This Row],[v2cltort_nr]:[v2clprptyw_nr]])</f>
        <v>13.772727272727273</v>
      </c>
      <c r="F114">
        <f>AVERAGE(Table13[[#This Row],[v2clrgstch_nr]:[v2clrgwkch_nr]])</f>
        <v>12.5</v>
      </c>
      <c r="G114">
        <f>Table13[[#This Row],[v2cl_avg]]-Table13[[#This Row],[v2clsn_avg]]</f>
        <v>1.2727272727272734</v>
      </c>
      <c r="H114" s="4">
        <f>MAX(Table1[[#This Row],[v2eldonate_nr]:[v2elsnmrfc_nr]])</f>
        <v>17</v>
      </c>
      <c r="I114" s="4">
        <f>MAX(Table13[[#This Row],[v2cltort_nr]:[v2clrgwkch_nr]])</f>
        <v>14</v>
      </c>
      <c r="J114" s="4">
        <f>MAX(Table13[[#This Row],[v2clrgstch_nr]:[v2clrgwkch_nr]])</f>
        <v>13</v>
      </c>
      <c r="K114" s="4">
        <f>MAX(Table1[[#This Row],[v2elsnlfc_nr]:[v2elsnmrfc_nr]])</f>
        <v>9</v>
      </c>
    </row>
    <row r="115" spans="1:11" x14ac:dyDescent="0.35">
      <c r="A115" s="2">
        <v>2013</v>
      </c>
      <c r="B115">
        <f>AVERAGE(Table1[[#This Row],[v2eldonate_nr]:[v2elffelrbin_nr]])</f>
        <v>14.125</v>
      </c>
      <c r="C115">
        <f>AVERAGE(Table1[[#This Row],[v2elsnlfc_nr]:[v2elsnmrfc_nr]])</f>
        <v>9</v>
      </c>
      <c r="D115">
        <f>Table1[[#This Row],[v2el_avg]]-Table1[[#This Row],[v2elsn_avg]]</f>
        <v>5.125</v>
      </c>
      <c r="E115">
        <f>AVERAGE(Table13[[#This Row],[v2cltort_nr]:[v2clprptyw_nr]])</f>
        <v>12.772727272727273</v>
      </c>
      <c r="F115">
        <f>AVERAGE(Table13[[#This Row],[v2clrgstch_nr]:[v2clrgwkch_nr]])</f>
        <v>12.5</v>
      </c>
      <c r="G115">
        <f>Table13[[#This Row],[v2cl_avg]]-Table13[[#This Row],[v2clsn_avg]]</f>
        <v>0.27272727272727337</v>
      </c>
      <c r="H115" s="4">
        <f>MAX(Table1[[#This Row],[v2eldonate_nr]:[v2elsnmrfc_nr]])</f>
        <v>15</v>
      </c>
      <c r="I115" s="4">
        <f>MAX(Table13[[#This Row],[v2cltort_nr]:[v2clrgwkch_nr]])</f>
        <v>13</v>
      </c>
      <c r="J115" s="4">
        <f>MAX(Table13[[#This Row],[v2clrgstch_nr]:[v2clrgwkch_nr]])</f>
        <v>13</v>
      </c>
      <c r="K115" s="4">
        <f>MAX(Table1[[#This Row],[v2elsnlfc_nr]:[v2elsnmrfc_nr]])</f>
        <v>9</v>
      </c>
    </row>
    <row r="116" spans="1:11" x14ac:dyDescent="0.35">
      <c r="A116" s="1">
        <v>2014</v>
      </c>
      <c r="B116">
        <f>AVERAGE(Table1[[#This Row],[v2eldonate_nr]:[v2elffelrbin_nr]])</f>
        <v>14.666666666666666</v>
      </c>
      <c r="C116">
        <f>AVERAGE(Table1[[#This Row],[v2elsnlfc_nr]:[v2elsnmrfc_nr]])</f>
        <v>9</v>
      </c>
      <c r="D116">
        <f>Table1[[#This Row],[v2el_avg]]-Table1[[#This Row],[v2elsn_avg]]</f>
        <v>5.6666666666666661</v>
      </c>
      <c r="E116">
        <f>AVERAGE(Table13[[#This Row],[v2cltort_nr]:[v2clprptyw_nr]])</f>
        <v>12.772727272727273</v>
      </c>
      <c r="F116">
        <f>AVERAGE(Table13[[#This Row],[v2clrgstch_nr]:[v2clrgwkch_nr]])</f>
        <v>12.5</v>
      </c>
      <c r="G116">
        <f>Table13[[#This Row],[v2cl_avg]]-Table13[[#This Row],[v2clsn_avg]]</f>
        <v>0.27272727272727337</v>
      </c>
      <c r="H116" s="4">
        <f>MAX(Table1[[#This Row],[v2eldonate_nr]:[v2elsnmrfc_nr]])</f>
        <v>16</v>
      </c>
      <c r="I116" s="4">
        <f>MAX(Table13[[#This Row],[v2cltort_nr]:[v2clrgwkch_nr]])</f>
        <v>13</v>
      </c>
      <c r="J116" s="4">
        <f>MAX(Table13[[#This Row],[v2clrgstch_nr]:[v2clrgwkch_nr]])</f>
        <v>13</v>
      </c>
      <c r="K116" s="4">
        <f>MAX(Table1[[#This Row],[v2elsnlfc_nr]:[v2elsnmrfc_nr]])</f>
        <v>9</v>
      </c>
    </row>
    <row r="117" spans="1:11" x14ac:dyDescent="0.35">
      <c r="A117" s="2">
        <v>2015</v>
      </c>
      <c r="B117">
        <f>AVERAGE(Table1[[#This Row],[v2eldonate_nr]:[v2elffelrbin_nr]])</f>
        <v>14.75</v>
      </c>
      <c r="C117">
        <f>AVERAGE(Table1[[#This Row],[v2elsnlfc_nr]:[v2elsnmrfc_nr]])</f>
        <v>11</v>
      </c>
      <c r="D117">
        <f>Table1[[#This Row],[v2el_avg]]-Table1[[#This Row],[v2elsn_avg]]</f>
        <v>3.75</v>
      </c>
      <c r="E117">
        <f>AVERAGE(Table13[[#This Row],[v2cltort_nr]:[v2clprptyw_nr]])</f>
        <v>12.772727272727273</v>
      </c>
      <c r="F117">
        <f>AVERAGE(Table13[[#This Row],[v2clrgstch_nr]:[v2clrgwkch_nr]])</f>
        <v>12.5</v>
      </c>
      <c r="G117">
        <f>Table13[[#This Row],[v2cl_avg]]-Table13[[#This Row],[v2clsn_avg]]</f>
        <v>0.27272727272727337</v>
      </c>
      <c r="H117" s="4">
        <f>MAX(Table1[[#This Row],[v2eldonate_nr]:[v2elsnmrfc_nr]])</f>
        <v>15</v>
      </c>
      <c r="I117" s="4">
        <f>MAX(Table13[[#This Row],[v2cltort_nr]:[v2clrgwkch_nr]])</f>
        <v>13</v>
      </c>
      <c r="J117" s="4">
        <f>MAX(Table13[[#This Row],[v2clrgstch_nr]:[v2clrgwkch_nr]])</f>
        <v>13</v>
      </c>
      <c r="K117" s="4">
        <f>MAX(Table1[[#This Row],[v2elsnlfc_nr]:[v2elsnmrfc_nr]])</f>
        <v>11</v>
      </c>
    </row>
    <row r="118" spans="1:11" x14ac:dyDescent="0.35">
      <c r="A118" s="1">
        <v>2016</v>
      </c>
      <c r="B118">
        <f>AVERAGE(Table1[[#This Row],[v2eldonate_nr]:[v2elffelrbin_nr]])</f>
        <v>13.25</v>
      </c>
      <c r="C118">
        <f>AVERAGE(Table1[[#This Row],[v2elsnlfc_nr]:[v2elsnmrfc_nr]])</f>
        <v>9.5</v>
      </c>
      <c r="D118">
        <f>Table1[[#This Row],[v2el_avg]]-Table1[[#This Row],[v2elsn_avg]]</f>
        <v>3.75</v>
      </c>
      <c r="E118">
        <f>AVERAGE(Table13[[#This Row],[v2cltort_nr]:[v2clprptyw_nr]])</f>
        <v>11.772727272727273</v>
      </c>
      <c r="F118">
        <f>AVERAGE(Table13[[#This Row],[v2clrgstch_nr]:[v2clrgwkch_nr]])</f>
        <v>11.5</v>
      </c>
      <c r="G118">
        <f>Table13[[#This Row],[v2cl_avg]]-Table13[[#This Row],[v2clsn_avg]]</f>
        <v>0.27272727272727337</v>
      </c>
      <c r="H118" s="4">
        <f>MAX(Table1[[#This Row],[v2eldonate_nr]:[v2elsnmrfc_nr]])</f>
        <v>14</v>
      </c>
      <c r="I118" s="4">
        <f>MAX(Table13[[#This Row],[v2cltort_nr]:[v2clrgwkch_nr]])</f>
        <v>12</v>
      </c>
      <c r="J118" s="4">
        <f>MAX(Table13[[#This Row],[v2clrgstch_nr]:[v2clrgwkch_nr]])</f>
        <v>12</v>
      </c>
      <c r="K118" s="4">
        <f>MAX(Table1[[#This Row],[v2elsnlfc_nr]:[v2elsnmrfc_nr]])</f>
        <v>10</v>
      </c>
    </row>
    <row r="119" spans="1:11" x14ac:dyDescent="0.35">
      <c r="A119" s="2">
        <v>2017</v>
      </c>
      <c r="B119">
        <f>AVERAGE(Table1[[#This Row],[v2eldonate_nr]:[v2elffelrbin_nr]])</f>
        <v>12.75</v>
      </c>
      <c r="C119">
        <f>AVERAGE(Table1[[#This Row],[v2elsnlfc_nr]:[v2elsnmrfc_nr]])</f>
        <v>9.5</v>
      </c>
      <c r="D119">
        <f>Table1[[#This Row],[v2el_avg]]-Table1[[#This Row],[v2elsn_avg]]</f>
        <v>3.25</v>
      </c>
      <c r="E119">
        <f>AVERAGE(Table13[[#This Row],[v2cltort_nr]:[v2clprptyw_nr]])</f>
        <v>10.772727272727273</v>
      </c>
      <c r="F119">
        <f>AVERAGE(Table13[[#This Row],[v2clrgstch_nr]:[v2clrgwkch_nr]])</f>
        <v>10.5</v>
      </c>
      <c r="G119">
        <f>Table13[[#This Row],[v2cl_avg]]-Table13[[#This Row],[v2clsn_avg]]</f>
        <v>0.27272727272727337</v>
      </c>
      <c r="H119" s="4">
        <f>MAX(Table1[[#This Row],[v2eldonate_nr]:[v2elsnmrfc_nr]])</f>
        <v>14</v>
      </c>
      <c r="I119" s="4">
        <f>MAX(Table13[[#This Row],[v2cltort_nr]:[v2clrgwkch_nr]])</f>
        <v>11</v>
      </c>
      <c r="J119" s="4">
        <f>MAX(Table13[[#This Row],[v2clrgstch_nr]:[v2clrgwkch_nr]])</f>
        <v>11</v>
      </c>
      <c r="K119" s="4">
        <f>MAX(Table1[[#This Row],[v2elsnlfc_nr]:[v2elsnmrfc_nr]])</f>
        <v>10</v>
      </c>
    </row>
    <row r="120" spans="1:11" x14ac:dyDescent="0.35">
      <c r="A120" s="1">
        <v>2018</v>
      </c>
      <c r="B120">
        <f>AVERAGE(Table1[[#This Row],[v2eldonate_nr]:[v2elffelrbin_nr]])</f>
        <v>11.761904761904763</v>
      </c>
      <c r="C120">
        <f>AVERAGE(Table1[[#This Row],[v2elsnlfc_nr]:[v2elsnmrfc_nr]])</f>
        <v>8.5</v>
      </c>
      <c r="D120">
        <f>Table1[[#This Row],[v2el_avg]]-Table1[[#This Row],[v2elsn_avg]]</f>
        <v>3.2619047619047628</v>
      </c>
      <c r="E120">
        <f>AVERAGE(Table13[[#This Row],[v2cltort_nr]:[v2clprptyw_nr]])</f>
        <v>9.7727272727272734</v>
      </c>
      <c r="F120">
        <f>AVERAGE(Table13[[#This Row],[v2clrgstch_nr]:[v2clrgwkch_nr]])</f>
        <v>9.5</v>
      </c>
      <c r="G120">
        <f>Table13[[#This Row],[v2cl_avg]]-Table13[[#This Row],[v2clsn_avg]]</f>
        <v>0.27272727272727337</v>
      </c>
      <c r="H120" s="4">
        <f>MAX(Table1[[#This Row],[v2eldonate_nr]:[v2elsnmrfc_nr]])</f>
        <v>13</v>
      </c>
      <c r="I120" s="4">
        <f>MAX(Table13[[#This Row],[v2cltort_nr]:[v2clrgwkch_nr]])</f>
        <v>10</v>
      </c>
      <c r="J120" s="4">
        <f>MAX(Table13[[#This Row],[v2clrgstch_nr]:[v2clrgwkch_nr]])</f>
        <v>10</v>
      </c>
      <c r="K120" s="4">
        <f>MAX(Table1[[#This Row],[v2elsnlfc_nr]:[v2elsnmrfc_nr]])</f>
        <v>9</v>
      </c>
    </row>
    <row r="121" spans="1:11" x14ac:dyDescent="0.35">
      <c r="A121" s="2">
        <v>2019</v>
      </c>
      <c r="B121">
        <f>AVERAGE(Table1[[#This Row],[v2eldonate_nr]:[v2elffelrbin_nr]])</f>
        <v>11</v>
      </c>
      <c r="C121">
        <f>AVERAGE(Table1[[#This Row],[v2elsnlfc_nr]:[v2elsnmrfc_nr]])</f>
        <v>9</v>
      </c>
      <c r="D121">
        <f>Table1[[#This Row],[v2el_avg]]-Table1[[#This Row],[v2elsn_avg]]</f>
        <v>2</v>
      </c>
      <c r="E121">
        <f>AVERAGE(Table13[[#This Row],[v2cltort_nr]:[v2clprptyw_nr]])</f>
        <v>8.7727272727272734</v>
      </c>
      <c r="F121">
        <f>AVERAGE(Table13[[#This Row],[v2clrgstch_nr]:[v2clrgwkch_nr]])</f>
        <v>8.5</v>
      </c>
      <c r="G121">
        <f>Table13[[#This Row],[v2cl_avg]]-Table13[[#This Row],[v2clsn_avg]]</f>
        <v>0.27272727272727337</v>
      </c>
      <c r="H121" s="4">
        <f>MAX(Table1[[#This Row],[v2eldonate_nr]:[v2elsnmrfc_nr]])</f>
        <v>12</v>
      </c>
      <c r="I121" s="4">
        <f>MAX(Table13[[#This Row],[v2cltort_nr]:[v2clrgwkch_nr]])</f>
        <v>9</v>
      </c>
      <c r="J121" s="4">
        <f>MAX(Table13[[#This Row],[v2clrgstch_nr]:[v2clrgwkch_nr]])</f>
        <v>9</v>
      </c>
      <c r="K121" s="4">
        <f>MAX(Table1[[#This Row],[v2elsnlfc_nr]:[v2elsnmrfc_nr]])</f>
        <v>9</v>
      </c>
    </row>
    <row r="122" spans="1:11" x14ac:dyDescent="0.35">
      <c r="A122" s="1">
        <v>2020</v>
      </c>
      <c r="B122">
        <f>AVERAGE(Table1[[#This Row],[v2eldonate_nr]:[v2elffelrbin_nr]])</f>
        <v>9.25</v>
      </c>
      <c r="C122">
        <f>AVERAGE(Table1[[#This Row],[v2elsnlfc_nr]:[v2elsnmrfc_nr]])</f>
        <v>5</v>
      </c>
      <c r="D122">
        <f>Table1[[#This Row],[v2el_avg]]-Table1[[#This Row],[v2elsn_avg]]</f>
        <v>4.25</v>
      </c>
      <c r="E122">
        <f>AVERAGE(Table13[[#This Row],[v2cltort_nr]:[v2clprptyw_nr]])</f>
        <v>7.7727272727272725</v>
      </c>
      <c r="F122">
        <f>AVERAGE(Table13[[#This Row],[v2clrgstch_nr]:[v2clrgwkch_nr]])</f>
        <v>7.5</v>
      </c>
      <c r="G122">
        <f>Table13[[#This Row],[v2cl_avg]]-Table13[[#This Row],[v2clsn_avg]]</f>
        <v>0.27272727272727249</v>
      </c>
      <c r="H122" s="4">
        <f>MAX(Table1[[#This Row],[v2eldonate_nr]:[v2elsnmrfc_nr]])</f>
        <v>10</v>
      </c>
      <c r="I122" s="4">
        <f>MAX(Table13[[#This Row],[v2cltort_nr]:[v2clrgwkch_nr]])</f>
        <v>8</v>
      </c>
      <c r="J122" s="4">
        <f>MAX(Table13[[#This Row],[v2clrgstch_nr]:[v2clrgwkch_nr]])</f>
        <v>8</v>
      </c>
      <c r="K122" s="4">
        <f>MAX(Table1[[#This Row],[v2elsnlfc_nr]:[v2elsnmrfc_nr]])</f>
        <v>5</v>
      </c>
    </row>
    <row r="123" spans="1:11" x14ac:dyDescent="0.35">
      <c r="A123" s="2">
        <v>2021</v>
      </c>
      <c r="B123">
        <f>AVERAGE(Table1[[#This Row],[v2eldonate_nr]:[v2elffelrbin_nr]])</f>
        <v>7.25</v>
      </c>
      <c r="C123">
        <f>AVERAGE(Table1[[#This Row],[v2elsnlfc_nr]:[v2elsnmrfc_nr]])</f>
        <v>3</v>
      </c>
      <c r="D123">
        <f>Table1[[#This Row],[v2el_avg]]-Table1[[#This Row],[v2elsn_avg]]</f>
        <v>4.25</v>
      </c>
      <c r="E123">
        <f>AVERAGE(Table13[[#This Row],[v2cltort_nr]:[v2clprptyw_nr]])</f>
        <v>6.7727272727272725</v>
      </c>
      <c r="F123">
        <f>AVERAGE(Table13[[#This Row],[v2clrgstch_nr]:[v2clrgwkch_nr]])</f>
        <v>6.5</v>
      </c>
      <c r="G123">
        <f>Table13[[#This Row],[v2cl_avg]]-Table13[[#This Row],[v2clsn_avg]]</f>
        <v>0.27272727272727249</v>
      </c>
      <c r="H123" s="4">
        <f>MAX(Table1[[#This Row],[v2eldonate_nr]:[v2elsnmrfc_nr]])</f>
        <v>8</v>
      </c>
      <c r="I123" s="4">
        <f>MAX(Table13[[#This Row],[v2cltort_nr]:[v2clrgwkch_nr]])</f>
        <v>7</v>
      </c>
      <c r="J123" s="4">
        <f>MAX(Table13[[#This Row],[v2clrgstch_nr]:[v2clrgwkch_nr]])</f>
        <v>7</v>
      </c>
      <c r="K123" s="4">
        <f>MAX(Table1[[#This Row],[v2elsnlfc_nr]:[v2elsnmrfc_nr]])</f>
        <v>3</v>
      </c>
    </row>
    <row r="124" spans="1:11" x14ac:dyDescent="0.35">
      <c r="A124" s="1">
        <v>2022</v>
      </c>
      <c r="B124">
        <f>AVERAGE(Table1[[#This Row],[v2eldonate_nr]:[v2elffelrbin_nr]])</f>
        <v>5.8571428571428568</v>
      </c>
      <c r="C124">
        <f>AVERAGE(Table1[[#This Row],[v2elsnlfc_nr]:[v2elsnmrfc_nr]])</f>
        <v>2</v>
      </c>
      <c r="D124">
        <f>Table1[[#This Row],[v2el_avg]]-Table1[[#This Row],[v2elsn_avg]]</f>
        <v>3.8571428571428568</v>
      </c>
      <c r="E124">
        <f>AVERAGE(Table13[[#This Row],[v2cltort_nr]:[v2clprptyw_nr]])</f>
        <v>5.7727272727272725</v>
      </c>
      <c r="F124">
        <f>AVERAGE(Table13[[#This Row],[v2clrgstch_nr]:[v2clrgwkch_nr]])</f>
        <v>5.5</v>
      </c>
      <c r="G124">
        <f>Table13[[#This Row],[v2cl_avg]]-Table13[[#This Row],[v2clsn_avg]]</f>
        <v>0.27272727272727249</v>
      </c>
      <c r="H124" s="4">
        <f>MAX(Table1[[#This Row],[v2eldonate_nr]:[v2elsnmrfc_nr]])</f>
        <v>6</v>
      </c>
      <c r="I124" s="4">
        <f>MAX(Table13[[#This Row],[v2cltort_nr]:[v2clrgwkch_nr]])</f>
        <v>6</v>
      </c>
      <c r="J124" s="4">
        <f>MAX(Table13[[#This Row],[v2clrgstch_nr]:[v2clrgwkch_nr]])</f>
        <v>6</v>
      </c>
      <c r="K124" s="4">
        <f>MAX(Table1[[#This Row],[v2elsnlfc_nr]:[v2elsnmrfc_nr]])</f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C408C-B73D-438A-8E3A-E27266449E59}">
  <dimension ref="A3:E127"/>
  <sheetViews>
    <sheetView tabSelected="1" workbookViewId="0">
      <selection activeCell="J5" sqref="J5"/>
    </sheetView>
  </sheetViews>
  <sheetFormatPr defaultRowHeight="14.5" x14ac:dyDescent="0.35"/>
  <cols>
    <col min="1" max="1" width="12.6328125" bestFit="1" customWidth="1"/>
    <col min="2" max="2" width="10.7265625" bestFit="1" customWidth="1"/>
    <col min="3" max="3" width="10.453125" bestFit="1" customWidth="1"/>
    <col min="4" max="4" width="17.453125" bestFit="1" customWidth="1"/>
    <col min="5" max="5" width="17.1796875" bestFit="1" customWidth="1"/>
    <col min="6" max="6" width="1.90625" bestFit="1" customWidth="1"/>
    <col min="7" max="7" width="11.81640625" bestFit="1" customWidth="1"/>
    <col min="8" max="8" width="5.81640625" bestFit="1" customWidth="1"/>
    <col min="9" max="9" width="4.81640625" bestFit="1" customWidth="1"/>
    <col min="10" max="13" width="11.81640625" bestFit="1" customWidth="1"/>
    <col min="14" max="14" width="10.81640625" bestFit="1" customWidth="1"/>
    <col min="15" max="16" width="11.81640625" bestFit="1" customWidth="1"/>
    <col min="17" max="17" width="1.90625" bestFit="1" customWidth="1"/>
    <col min="18" max="18" width="11.81640625" bestFit="1" customWidth="1"/>
    <col min="19" max="19" width="4.81640625" bestFit="1" customWidth="1"/>
    <col min="20" max="20" width="11.81640625" bestFit="1" customWidth="1"/>
    <col min="21" max="21" width="10.81640625" bestFit="1" customWidth="1"/>
    <col min="22" max="23" width="11.81640625" bestFit="1" customWidth="1"/>
    <col min="24" max="24" width="3.81640625" bestFit="1" customWidth="1"/>
    <col min="25" max="28" width="11.81640625" bestFit="1" customWidth="1"/>
    <col min="29" max="29" width="4.81640625" bestFit="1" customWidth="1"/>
    <col min="30" max="31" width="11.81640625" bestFit="1" customWidth="1"/>
    <col min="32" max="32" width="4.81640625" bestFit="1" customWidth="1"/>
    <col min="33" max="33" width="11.81640625" bestFit="1" customWidth="1"/>
    <col min="34" max="35" width="5.81640625" bestFit="1" customWidth="1"/>
    <col min="36" max="36" width="4.81640625" bestFit="1" customWidth="1"/>
    <col min="37" max="37" width="11.81640625" bestFit="1" customWidth="1"/>
    <col min="38" max="38" width="5.81640625" bestFit="1" customWidth="1"/>
    <col min="39" max="39" width="3.81640625" bestFit="1" customWidth="1"/>
    <col min="40" max="40" width="5.81640625" bestFit="1" customWidth="1"/>
    <col min="41" max="41" width="11.81640625" bestFit="1" customWidth="1"/>
    <col min="42" max="42" width="10.7265625" bestFit="1" customWidth="1"/>
  </cols>
  <sheetData>
    <row r="3" spans="1:5" x14ac:dyDescent="0.35">
      <c r="A3" s="5" t="s">
        <v>50</v>
      </c>
      <c r="B3" t="s">
        <v>65</v>
      </c>
      <c r="C3" t="s">
        <v>66</v>
      </c>
      <c r="D3" t="s">
        <v>67</v>
      </c>
      <c r="E3" t="s">
        <v>68</v>
      </c>
    </row>
    <row r="4" spans="1:5" x14ac:dyDescent="0.35">
      <c r="A4" s="6">
        <v>1900</v>
      </c>
      <c r="B4" s="4">
        <v>8</v>
      </c>
      <c r="C4" s="4">
        <v>6</v>
      </c>
      <c r="D4" s="4">
        <v>3</v>
      </c>
      <c r="E4" s="4">
        <v>3</v>
      </c>
    </row>
    <row r="5" spans="1:5" x14ac:dyDescent="0.35">
      <c r="A5" s="6">
        <v>1901</v>
      </c>
      <c r="B5" s="4">
        <v>8</v>
      </c>
      <c r="C5" s="4">
        <v>6</v>
      </c>
      <c r="D5" s="4">
        <v>3</v>
      </c>
      <c r="E5" s="4">
        <v>3</v>
      </c>
    </row>
    <row r="6" spans="1:5" x14ac:dyDescent="0.35">
      <c r="A6" s="6">
        <v>1902</v>
      </c>
      <c r="B6" s="4">
        <v>8</v>
      </c>
      <c r="C6" s="4">
        <v>6</v>
      </c>
      <c r="D6" s="4">
        <v>3</v>
      </c>
      <c r="E6" s="4">
        <v>3</v>
      </c>
    </row>
    <row r="7" spans="1:5" x14ac:dyDescent="0.35">
      <c r="A7" s="6">
        <v>1903</v>
      </c>
      <c r="B7" s="4">
        <v>8</v>
      </c>
      <c r="C7" s="4">
        <v>6</v>
      </c>
      <c r="D7" s="4">
        <v>3</v>
      </c>
      <c r="E7" s="4">
        <v>3</v>
      </c>
    </row>
    <row r="8" spans="1:5" x14ac:dyDescent="0.35">
      <c r="A8" s="6">
        <v>1904</v>
      </c>
      <c r="B8" s="4">
        <v>8</v>
      </c>
      <c r="C8" s="4">
        <v>6</v>
      </c>
      <c r="D8" s="4">
        <v>3</v>
      </c>
      <c r="E8" s="4">
        <v>3</v>
      </c>
    </row>
    <row r="9" spans="1:5" x14ac:dyDescent="0.35">
      <c r="A9" s="6">
        <v>1905</v>
      </c>
      <c r="B9" s="4">
        <v>8</v>
      </c>
      <c r="C9" s="4">
        <v>6</v>
      </c>
      <c r="D9" s="4">
        <v>3</v>
      </c>
      <c r="E9" s="4">
        <v>3</v>
      </c>
    </row>
    <row r="10" spans="1:5" x14ac:dyDescent="0.35">
      <c r="A10" s="6">
        <v>1906</v>
      </c>
      <c r="B10" s="4">
        <v>8</v>
      </c>
      <c r="C10" s="4">
        <v>6</v>
      </c>
      <c r="D10" s="4">
        <v>3</v>
      </c>
      <c r="E10" s="4">
        <v>3</v>
      </c>
    </row>
    <row r="11" spans="1:5" x14ac:dyDescent="0.35">
      <c r="A11" s="6">
        <v>1907</v>
      </c>
      <c r="B11" s="4">
        <v>8</v>
      </c>
      <c r="C11" s="4">
        <v>6</v>
      </c>
      <c r="D11" s="4">
        <v>3</v>
      </c>
      <c r="E11" s="4">
        <v>3</v>
      </c>
    </row>
    <row r="12" spans="1:5" x14ac:dyDescent="0.35">
      <c r="A12" s="6">
        <v>1908</v>
      </c>
      <c r="B12" s="4">
        <v>8</v>
      </c>
      <c r="C12" s="4">
        <v>6</v>
      </c>
      <c r="D12" s="4">
        <v>3</v>
      </c>
      <c r="E12" s="4">
        <v>3</v>
      </c>
    </row>
    <row r="13" spans="1:5" x14ac:dyDescent="0.35">
      <c r="A13" s="6">
        <v>1909</v>
      </c>
      <c r="B13" s="4">
        <v>8</v>
      </c>
      <c r="C13" s="4">
        <v>6</v>
      </c>
      <c r="D13" s="4">
        <v>3</v>
      </c>
      <c r="E13" s="4">
        <v>3</v>
      </c>
    </row>
    <row r="14" spans="1:5" x14ac:dyDescent="0.35">
      <c r="A14" s="6">
        <v>1910</v>
      </c>
      <c r="B14" s="4">
        <v>8</v>
      </c>
      <c r="C14" s="4">
        <v>6</v>
      </c>
      <c r="D14" s="4">
        <v>3</v>
      </c>
      <c r="E14" s="4">
        <v>3</v>
      </c>
    </row>
    <row r="15" spans="1:5" x14ac:dyDescent="0.35">
      <c r="A15" s="6">
        <v>1911</v>
      </c>
      <c r="B15" s="4">
        <v>8</v>
      </c>
      <c r="C15" s="4">
        <v>6</v>
      </c>
      <c r="D15" s="4">
        <v>3</v>
      </c>
      <c r="E15" s="4">
        <v>3</v>
      </c>
    </row>
    <row r="16" spans="1:5" x14ac:dyDescent="0.35">
      <c r="A16" s="6">
        <v>1912</v>
      </c>
      <c r="B16" s="4">
        <v>8</v>
      </c>
      <c r="C16" s="4">
        <v>6</v>
      </c>
      <c r="D16" s="4">
        <v>3</v>
      </c>
      <c r="E16" s="4">
        <v>3</v>
      </c>
    </row>
    <row r="17" spans="1:5" x14ac:dyDescent="0.35">
      <c r="A17" s="6">
        <v>1913</v>
      </c>
      <c r="B17" s="4">
        <v>8</v>
      </c>
      <c r="C17" s="4">
        <v>6</v>
      </c>
      <c r="D17" s="4">
        <v>3</v>
      </c>
      <c r="E17" s="4">
        <v>3</v>
      </c>
    </row>
    <row r="18" spans="1:5" x14ac:dyDescent="0.35">
      <c r="A18" s="6">
        <v>1914</v>
      </c>
      <c r="B18" s="4">
        <v>8</v>
      </c>
      <c r="C18" s="4">
        <v>6</v>
      </c>
      <c r="D18" s="4">
        <v>3</v>
      </c>
      <c r="E18" s="4">
        <v>3</v>
      </c>
    </row>
    <row r="19" spans="1:5" x14ac:dyDescent="0.35">
      <c r="A19" s="6">
        <v>1915</v>
      </c>
      <c r="B19" s="4">
        <v>8</v>
      </c>
      <c r="C19" s="4">
        <v>6</v>
      </c>
      <c r="D19" s="4">
        <v>3</v>
      </c>
      <c r="E19" s="4">
        <v>3</v>
      </c>
    </row>
    <row r="20" spans="1:5" x14ac:dyDescent="0.35">
      <c r="A20" s="6">
        <v>1916</v>
      </c>
      <c r="B20" s="4">
        <v>8</v>
      </c>
      <c r="C20" s="4">
        <v>6</v>
      </c>
      <c r="D20" s="4">
        <v>3</v>
      </c>
      <c r="E20" s="4">
        <v>3</v>
      </c>
    </row>
    <row r="21" spans="1:5" x14ac:dyDescent="0.35">
      <c r="A21" s="6">
        <v>1917</v>
      </c>
      <c r="B21" s="4">
        <v>8</v>
      </c>
      <c r="C21" s="4">
        <v>6</v>
      </c>
      <c r="D21" s="4">
        <v>3</v>
      </c>
      <c r="E21" s="4">
        <v>3</v>
      </c>
    </row>
    <row r="22" spans="1:5" x14ac:dyDescent="0.35">
      <c r="A22" s="6">
        <v>1918</v>
      </c>
      <c r="B22" s="4">
        <v>8</v>
      </c>
      <c r="C22" s="4">
        <v>6</v>
      </c>
      <c r="D22" s="4">
        <v>3</v>
      </c>
      <c r="E22" s="4">
        <v>3</v>
      </c>
    </row>
    <row r="23" spans="1:5" x14ac:dyDescent="0.35">
      <c r="A23" s="6">
        <v>1919</v>
      </c>
      <c r="B23" s="4">
        <v>8</v>
      </c>
      <c r="C23" s="4">
        <v>6</v>
      </c>
      <c r="D23" s="4">
        <v>3</v>
      </c>
      <c r="E23" s="4">
        <v>3</v>
      </c>
    </row>
    <row r="24" spans="1:5" x14ac:dyDescent="0.35">
      <c r="A24" s="6">
        <v>1920</v>
      </c>
      <c r="B24" s="4">
        <v>8</v>
      </c>
      <c r="C24" s="4">
        <v>6</v>
      </c>
      <c r="D24" s="4">
        <v>3</v>
      </c>
      <c r="E24" s="4">
        <v>3</v>
      </c>
    </row>
    <row r="25" spans="1:5" x14ac:dyDescent="0.35">
      <c r="A25" s="6">
        <v>1921</v>
      </c>
      <c r="B25" s="4">
        <v>7</v>
      </c>
      <c r="C25" s="4">
        <v>5</v>
      </c>
      <c r="D25" s="4">
        <v>3</v>
      </c>
      <c r="E25" s="4">
        <v>3</v>
      </c>
    </row>
    <row r="26" spans="1:5" x14ac:dyDescent="0.35">
      <c r="A26" s="6">
        <v>1922</v>
      </c>
      <c r="B26" s="4">
        <v>7</v>
      </c>
      <c r="C26" s="4">
        <v>5</v>
      </c>
      <c r="D26" s="4">
        <v>3</v>
      </c>
      <c r="E26" s="4">
        <v>3</v>
      </c>
    </row>
    <row r="27" spans="1:5" x14ac:dyDescent="0.35">
      <c r="A27" s="6">
        <v>1923</v>
      </c>
      <c r="B27" s="4">
        <v>7</v>
      </c>
      <c r="C27" s="4">
        <v>5</v>
      </c>
      <c r="D27" s="4">
        <v>3</v>
      </c>
      <c r="E27" s="4">
        <v>3</v>
      </c>
    </row>
    <row r="28" spans="1:5" x14ac:dyDescent="0.35">
      <c r="A28" s="6">
        <v>1924</v>
      </c>
      <c r="B28" s="4">
        <v>7</v>
      </c>
      <c r="C28" s="4">
        <v>5</v>
      </c>
      <c r="D28" s="4">
        <v>3</v>
      </c>
      <c r="E28" s="4">
        <v>3</v>
      </c>
    </row>
    <row r="29" spans="1:5" x14ac:dyDescent="0.35">
      <c r="A29" s="6">
        <v>1925</v>
      </c>
      <c r="B29" s="4">
        <v>7</v>
      </c>
      <c r="C29" s="4">
        <v>5</v>
      </c>
      <c r="D29" s="4">
        <v>3</v>
      </c>
      <c r="E29" s="4">
        <v>3</v>
      </c>
    </row>
    <row r="30" spans="1:5" x14ac:dyDescent="0.35">
      <c r="A30" s="6">
        <v>1926</v>
      </c>
      <c r="B30" s="4">
        <v>7</v>
      </c>
      <c r="C30" s="4">
        <v>5</v>
      </c>
      <c r="D30" s="4">
        <v>3</v>
      </c>
      <c r="E30" s="4">
        <v>3</v>
      </c>
    </row>
    <row r="31" spans="1:5" x14ac:dyDescent="0.35">
      <c r="A31" s="6">
        <v>1927</v>
      </c>
      <c r="B31" s="4">
        <v>7</v>
      </c>
      <c r="C31" s="4">
        <v>5</v>
      </c>
      <c r="D31" s="4">
        <v>3</v>
      </c>
      <c r="E31" s="4">
        <v>3</v>
      </c>
    </row>
    <row r="32" spans="1:5" x14ac:dyDescent="0.35">
      <c r="A32" s="6">
        <v>1928</v>
      </c>
      <c r="B32" s="4">
        <v>7</v>
      </c>
      <c r="C32" s="4">
        <v>5</v>
      </c>
      <c r="D32" s="4">
        <v>3</v>
      </c>
      <c r="E32" s="4">
        <v>3</v>
      </c>
    </row>
    <row r="33" spans="1:5" x14ac:dyDescent="0.35">
      <c r="A33" s="6">
        <v>1929</v>
      </c>
      <c r="B33" s="4">
        <v>7</v>
      </c>
      <c r="C33" s="4">
        <v>5</v>
      </c>
      <c r="D33" s="4">
        <v>3</v>
      </c>
      <c r="E33" s="4">
        <v>3</v>
      </c>
    </row>
    <row r="34" spans="1:5" x14ac:dyDescent="0.35">
      <c r="A34" s="6">
        <v>1930</v>
      </c>
      <c r="B34" s="4">
        <v>7</v>
      </c>
      <c r="C34" s="4">
        <v>5</v>
      </c>
      <c r="D34" s="4">
        <v>3</v>
      </c>
      <c r="E34" s="4">
        <v>3</v>
      </c>
    </row>
    <row r="35" spans="1:5" x14ac:dyDescent="0.35">
      <c r="A35" s="6">
        <v>1931</v>
      </c>
      <c r="B35" s="4">
        <v>7</v>
      </c>
      <c r="C35" s="4">
        <v>5</v>
      </c>
      <c r="D35" s="4">
        <v>3</v>
      </c>
      <c r="E35" s="4">
        <v>3</v>
      </c>
    </row>
    <row r="36" spans="1:5" x14ac:dyDescent="0.35">
      <c r="A36" s="6">
        <v>1932</v>
      </c>
      <c r="B36" s="4">
        <v>7</v>
      </c>
      <c r="C36" s="4">
        <v>5</v>
      </c>
      <c r="D36" s="4">
        <v>3</v>
      </c>
      <c r="E36" s="4">
        <v>3</v>
      </c>
    </row>
    <row r="37" spans="1:5" x14ac:dyDescent="0.35">
      <c r="A37" s="6">
        <v>1933</v>
      </c>
      <c r="B37" s="4">
        <v>7</v>
      </c>
      <c r="C37" s="4">
        <v>5</v>
      </c>
      <c r="D37" s="4">
        <v>3</v>
      </c>
      <c r="E37" s="4">
        <v>3</v>
      </c>
    </row>
    <row r="38" spans="1:5" x14ac:dyDescent="0.35">
      <c r="A38" s="6">
        <v>1934</v>
      </c>
      <c r="B38" s="4">
        <v>7</v>
      </c>
      <c r="C38" s="4">
        <v>5</v>
      </c>
      <c r="D38" s="4">
        <v>3</v>
      </c>
      <c r="E38" s="4">
        <v>3</v>
      </c>
    </row>
    <row r="39" spans="1:5" x14ac:dyDescent="0.35">
      <c r="A39" s="6">
        <v>1935</v>
      </c>
      <c r="B39" s="4">
        <v>7</v>
      </c>
      <c r="C39" s="4">
        <v>5</v>
      </c>
      <c r="D39" s="4">
        <v>3</v>
      </c>
      <c r="E39" s="4">
        <v>3</v>
      </c>
    </row>
    <row r="40" spans="1:5" x14ac:dyDescent="0.35">
      <c r="A40" s="6">
        <v>1936</v>
      </c>
      <c r="B40" s="4">
        <v>7</v>
      </c>
      <c r="C40" s="4">
        <v>5</v>
      </c>
      <c r="D40" s="4">
        <v>3</v>
      </c>
      <c r="E40" s="4">
        <v>3</v>
      </c>
    </row>
    <row r="41" spans="1:5" x14ac:dyDescent="0.35">
      <c r="A41" s="6">
        <v>1937</v>
      </c>
      <c r="B41" s="4">
        <v>7</v>
      </c>
      <c r="C41" s="4">
        <v>5</v>
      </c>
      <c r="D41" s="4">
        <v>3</v>
      </c>
      <c r="E41" s="4">
        <v>3</v>
      </c>
    </row>
    <row r="42" spans="1:5" x14ac:dyDescent="0.35">
      <c r="A42" s="6">
        <v>1938</v>
      </c>
      <c r="B42" s="4">
        <v>7</v>
      </c>
      <c r="C42" s="4">
        <v>5</v>
      </c>
      <c r="D42" s="4">
        <v>3</v>
      </c>
      <c r="E42" s="4">
        <v>3</v>
      </c>
    </row>
    <row r="43" spans="1:5" x14ac:dyDescent="0.35">
      <c r="A43" s="6">
        <v>1939</v>
      </c>
      <c r="B43" s="4">
        <v>7</v>
      </c>
      <c r="C43" s="4">
        <v>5</v>
      </c>
      <c r="D43" s="4">
        <v>3</v>
      </c>
      <c r="E43" s="4">
        <v>3</v>
      </c>
    </row>
    <row r="44" spans="1:5" x14ac:dyDescent="0.35">
      <c r="A44" s="6">
        <v>1940</v>
      </c>
      <c r="B44" s="4">
        <v>7</v>
      </c>
      <c r="C44" s="4">
        <v>5</v>
      </c>
      <c r="D44" s="4">
        <v>3</v>
      </c>
      <c r="E44" s="4">
        <v>3</v>
      </c>
    </row>
    <row r="45" spans="1:5" x14ac:dyDescent="0.35">
      <c r="A45" s="6">
        <v>1941</v>
      </c>
      <c r="B45" s="4">
        <v>7</v>
      </c>
      <c r="C45" s="4">
        <v>5</v>
      </c>
      <c r="D45" s="4">
        <v>3</v>
      </c>
      <c r="E45" s="4">
        <v>3</v>
      </c>
    </row>
    <row r="46" spans="1:5" x14ac:dyDescent="0.35">
      <c r="A46" s="6">
        <v>1942</v>
      </c>
      <c r="B46" s="4">
        <v>7</v>
      </c>
      <c r="C46" s="4">
        <v>5</v>
      </c>
      <c r="D46" s="4">
        <v>3</v>
      </c>
      <c r="E46" s="4">
        <v>3</v>
      </c>
    </row>
    <row r="47" spans="1:5" x14ac:dyDescent="0.35">
      <c r="A47" s="6">
        <v>1943</v>
      </c>
      <c r="B47" s="4">
        <v>7</v>
      </c>
      <c r="C47" s="4">
        <v>5</v>
      </c>
      <c r="D47" s="4">
        <v>3</v>
      </c>
      <c r="E47" s="4">
        <v>3</v>
      </c>
    </row>
    <row r="48" spans="1:5" x14ac:dyDescent="0.35">
      <c r="A48" s="6">
        <v>1944</v>
      </c>
      <c r="B48" s="4">
        <v>7</v>
      </c>
      <c r="C48" s="4">
        <v>5</v>
      </c>
      <c r="D48" s="4">
        <v>3</v>
      </c>
      <c r="E48" s="4">
        <v>3</v>
      </c>
    </row>
    <row r="49" spans="1:5" x14ac:dyDescent="0.35">
      <c r="A49" s="6">
        <v>1945</v>
      </c>
      <c r="B49" s="4">
        <v>7</v>
      </c>
      <c r="C49" s="4">
        <v>5</v>
      </c>
      <c r="D49" s="4">
        <v>3</v>
      </c>
      <c r="E49" s="4">
        <v>3</v>
      </c>
    </row>
    <row r="50" spans="1:5" x14ac:dyDescent="0.35">
      <c r="A50" s="6">
        <v>1946</v>
      </c>
      <c r="B50" s="4">
        <v>7</v>
      </c>
      <c r="C50" s="4">
        <v>5</v>
      </c>
      <c r="D50" s="4">
        <v>3</v>
      </c>
      <c r="E50" s="4">
        <v>3</v>
      </c>
    </row>
    <row r="51" spans="1:5" x14ac:dyDescent="0.35">
      <c r="A51" s="6">
        <v>1947</v>
      </c>
      <c r="B51" s="4">
        <v>7</v>
      </c>
      <c r="C51" s="4">
        <v>5</v>
      </c>
      <c r="D51" s="4">
        <v>3</v>
      </c>
      <c r="E51" s="4">
        <v>3</v>
      </c>
    </row>
    <row r="52" spans="1:5" x14ac:dyDescent="0.35">
      <c r="A52" s="6">
        <v>1948</v>
      </c>
      <c r="B52" s="4">
        <v>7</v>
      </c>
      <c r="C52" s="4">
        <v>5</v>
      </c>
      <c r="D52" s="4">
        <v>3</v>
      </c>
      <c r="E52" s="4">
        <v>3</v>
      </c>
    </row>
    <row r="53" spans="1:5" x14ac:dyDescent="0.35">
      <c r="A53" s="6">
        <v>1949</v>
      </c>
      <c r="B53" s="4">
        <v>7</v>
      </c>
      <c r="C53" s="4">
        <v>5</v>
      </c>
      <c r="D53" s="4">
        <v>3</v>
      </c>
      <c r="E53" s="4">
        <v>3</v>
      </c>
    </row>
    <row r="54" spans="1:5" x14ac:dyDescent="0.35">
      <c r="A54" s="6">
        <v>1950</v>
      </c>
      <c r="B54" s="4">
        <v>7</v>
      </c>
      <c r="C54" s="4">
        <v>5</v>
      </c>
      <c r="D54" s="4">
        <v>3</v>
      </c>
      <c r="E54" s="4">
        <v>3</v>
      </c>
    </row>
    <row r="55" spans="1:5" x14ac:dyDescent="0.35">
      <c r="A55" s="6">
        <v>1951</v>
      </c>
      <c r="B55" s="4">
        <v>7</v>
      </c>
      <c r="C55" s="4">
        <v>5</v>
      </c>
      <c r="D55" s="4">
        <v>3</v>
      </c>
      <c r="E55" s="4">
        <v>3</v>
      </c>
    </row>
    <row r="56" spans="1:5" x14ac:dyDescent="0.35">
      <c r="A56" s="6">
        <v>1952</v>
      </c>
      <c r="B56" s="4">
        <v>7</v>
      </c>
      <c r="C56" s="4">
        <v>5</v>
      </c>
      <c r="D56" s="4">
        <v>3</v>
      </c>
      <c r="E56" s="4">
        <v>3</v>
      </c>
    </row>
    <row r="57" spans="1:5" x14ac:dyDescent="0.35">
      <c r="A57" s="6">
        <v>1953</v>
      </c>
      <c r="B57" s="4">
        <v>7</v>
      </c>
      <c r="C57" s="4">
        <v>5</v>
      </c>
      <c r="D57" s="4">
        <v>3</v>
      </c>
      <c r="E57" s="4">
        <v>3</v>
      </c>
    </row>
    <row r="58" spans="1:5" x14ac:dyDescent="0.35">
      <c r="A58" s="6">
        <v>1954</v>
      </c>
      <c r="B58" s="4">
        <v>7</v>
      </c>
      <c r="C58" s="4">
        <v>5</v>
      </c>
      <c r="D58" s="4">
        <v>3</v>
      </c>
      <c r="E58" s="4">
        <v>3</v>
      </c>
    </row>
    <row r="59" spans="1:5" x14ac:dyDescent="0.35">
      <c r="A59" s="6">
        <v>1955</v>
      </c>
      <c r="B59" s="4">
        <v>7</v>
      </c>
      <c r="C59" s="4">
        <v>5</v>
      </c>
      <c r="D59" s="4">
        <v>3</v>
      </c>
      <c r="E59" s="4">
        <v>3</v>
      </c>
    </row>
    <row r="60" spans="1:5" x14ac:dyDescent="0.35">
      <c r="A60" s="6">
        <v>1956</v>
      </c>
      <c r="B60" s="4">
        <v>7</v>
      </c>
      <c r="C60" s="4">
        <v>5</v>
      </c>
      <c r="D60" s="4">
        <v>3</v>
      </c>
      <c r="E60" s="4">
        <v>3</v>
      </c>
    </row>
    <row r="61" spans="1:5" x14ac:dyDescent="0.35">
      <c r="A61" s="6">
        <v>1957</v>
      </c>
      <c r="B61" s="4">
        <v>7</v>
      </c>
      <c r="C61" s="4">
        <v>5</v>
      </c>
      <c r="D61" s="4">
        <v>3</v>
      </c>
      <c r="E61" s="4">
        <v>3</v>
      </c>
    </row>
    <row r="62" spans="1:5" x14ac:dyDescent="0.35">
      <c r="A62" s="6">
        <v>1958</v>
      </c>
      <c r="B62" s="4">
        <v>7</v>
      </c>
      <c r="C62" s="4">
        <v>5</v>
      </c>
      <c r="D62" s="4">
        <v>4</v>
      </c>
      <c r="E62" s="4">
        <v>3</v>
      </c>
    </row>
    <row r="63" spans="1:5" x14ac:dyDescent="0.35">
      <c r="A63" s="6">
        <v>1959</v>
      </c>
      <c r="B63" s="4">
        <v>7</v>
      </c>
      <c r="C63" s="4">
        <v>5</v>
      </c>
      <c r="D63" s="4">
        <v>3</v>
      </c>
      <c r="E63" s="4">
        <v>3</v>
      </c>
    </row>
    <row r="64" spans="1:5" x14ac:dyDescent="0.35">
      <c r="A64" s="6">
        <v>1960</v>
      </c>
      <c r="B64" s="4">
        <v>7</v>
      </c>
      <c r="C64" s="4">
        <v>5</v>
      </c>
      <c r="D64" s="4">
        <v>4</v>
      </c>
      <c r="E64" s="4">
        <v>3</v>
      </c>
    </row>
    <row r="65" spans="1:5" x14ac:dyDescent="0.35">
      <c r="A65" s="6">
        <v>1961</v>
      </c>
      <c r="B65" s="4">
        <v>7</v>
      </c>
      <c r="C65" s="4">
        <v>5</v>
      </c>
      <c r="D65" s="4">
        <v>4</v>
      </c>
      <c r="E65" s="4">
        <v>3</v>
      </c>
    </row>
    <row r="66" spans="1:5" x14ac:dyDescent="0.35">
      <c r="A66" s="6">
        <v>1962</v>
      </c>
      <c r="B66" s="4">
        <v>7</v>
      </c>
      <c r="C66" s="4">
        <v>5</v>
      </c>
      <c r="D66" s="4">
        <v>4</v>
      </c>
      <c r="E66" s="4">
        <v>3</v>
      </c>
    </row>
    <row r="67" spans="1:5" x14ac:dyDescent="0.35">
      <c r="A67" s="6">
        <v>1963</v>
      </c>
      <c r="B67" s="4">
        <v>7</v>
      </c>
      <c r="C67" s="4">
        <v>5</v>
      </c>
      <c r="D67" s="4">
        <v>4</v>
      </c>
      <c r="E67" s="4">
        <v>3</v>
      </c>
    </row>
    <row r="68" spans="1:5" x14ac:dyDescent="0.35">
      <c r="A68" s="6">
        <v>1964</v>
      </c>
      <c r="B68" s="4">
        <v>7</v>
      </c>
      <c r="C68" s="4">
        <v>5</v>
      </c>
      <c r="D68" s="4">
        <v>4</v>
      </c>
      <c r="E68" s="4">
        <v>3</v>
      </c>
    </row>
    <row r="69" spans="1:5" x14ac:dyDescent="0.35">
      <c r="A69" s="6">
        <v>1965</v>
      </c>
      <c r="B69" s="4">
        <v>7</v>
      </c>
      <c r="C69" s="4">
        <v>5</v>
      </c>
      <c r="D69" s="4">
        <v>4</v>
      </c>
      <c r="E69" s="4">
        <v>3</v>
      </c>
    </row>
    <row r="70" spans="1:5" x14ac:dyDescent="0.35">
      <c r="A70" s="6">
        <v>1966</v>
      </c>
      <c r="B70" s="4">
        <v>7</v>
      </c>
      <c r="C70" s="4">
        <v>5</v>
      </c>
      <c r="D70" s="4">
        <v>4</v>
      </c>
      <c r="E70" s="4">
        <v>3</v>
      </c>
    </row>
    <row r="71" spans="1:5" x14ac:dyDescent="0.35">
      <c r="A71" s="6">
        <v>1967</v>
      </c>
      <c r="B71" s="4">
        <v>7</v>
      </c>
      <c r="C71" s="4">
        <v>5</v>
      </c>
      <c r="D71" s="4">
        <v>4</v>
      </c>
      <c r="E71" s="4">
        <v>3</v>
      </c>
    </row>
    <row r="72" spans="1:5" x14ac:dyDescent="0.35">
      <c r="A72" s="6">
        <v>1968</v>
      </c>
      <c r="B72" s="4">
        <v>7</v>
      </c>
      <c r="C72" s="4">
        <v>5</v>
      </c>
      <c r="D72" s="4">
        <v>4</v>
      </c>
      <c r="E72" s="4">
        <v>3</v>
      </c>
    </row>
    <row r="73" spans="1:5" x14ac:dyDescent="0.35">
      <c r="A73" s="6">
        <v>1969</v>
      </c>
      <c r="B73" s="4">
        <v>7</v>
      </c>
      <c r="C73" s="4">
        <v>5</v>
      </c>
      <c r="D73" s="4">
        <v>3</v>
      </c>
      <c r="E73" s="4">
        <v>3</v>
      </c>
    </row>
    <row r="74" spans="1:5" x14ac:dyDescent="0.35">
      <c r="A74" s="6">
        <v>1970</v>
      </c>
      <c r="B74" s="4">
        <v>7</v>
      </c>
      <c r="C74" s="4">
        <v>5</v>
      </c>
      <c r="D74" s="4">
        <v>4</v>
      </c>
      <c r="E74" s="4">
        <v>4</v>
      </c>
    </row>
    <row r="75" spans="1:5" x14ac:dyDescent="0.35">
      <c r="A75" s="6">
        <v>1971</v>
      </c>
      <c r="B75" s="4">
        <v>7</v>
      </c>
      <c r="C75" s="4">
        <v>5</v>
      </c>
      <c r="D75" s="4">
        <v>3</v>
      </c>
      <c r="E75" s="4">
        <v>4</v>
      </c>
    </row>
    <row r="76" spans="1:5" x14ac:dyDescent="0.35">
      <c r="A76" s="6">
        <v>1972</v>
      </c>
      <c r="B76" s="4">
        <v>7</v>
      </c>
      <c r="C76" s="4">
        <v>5</v>
      </c>
      <c r="D76" s="4">
        <v>3</v>
      </c>
      <c r="E76" s="4">
        <v>4</v>
      </c>
    </row>
    <row r="77" spans="1:5" x14ac:dyDescent="0.35">
      <c r="A77" s="6">
        <v>1973</v>
      </c>
      <c r="B77" s="4">
        <v>7</v>
      </c>
      <c r="C77" s="4">
        <v>5</v>
      </c>
      <c r="D77" s="4">
        <v>3</v>
      </c>
      <c r="E77" s="4">
        <v>4</v>
      </c>
    </row>
    <row r="78" spans="1:5" x14ac:dyDescent="0.35">
      <c r="A78" s="6">
        <v>1974</v>
      </c>
      <c r="B78" s="4">
        <v>7</v>
      </c>
      <c r="C78" s="4">
        <v>5</v>
      </c>
      <c r="D78" s="4">
        <v>4</v>
      </c>
      <c r="E78" s="4">
        <v>4</v>
      </c>
    </row>
    <row r="79" spans="1:5" x14ac:dyDescent="0.35">
      <c r="A79" s="6">
        <v>1975</v>
      </c>
      <c r="B79" s="4">
        <v>7</v>
      </c>
      <c r="C79" s="4">
        <v>5</v>
      </c>
      <c r="D79" s="4">
        <v>3</v>
      </c>
      <c r="E79" s="4">
        <v>4</v>
      </c>
    </row>
    <row r="80" spans="1:5" x14ac:dyDescent="0.35">
      <c r="A80" s="6">
        <v>1976</v>
      </c>
      <c r="B80" s="4">
        <v>7</v>
      </c>
      <c r="C80" s="4">
        <v>5</v>
      </c>
      <c r="D80" s="4">
        <v>3</v>
      </c>
      <c r="E80" s="4">
        <v>4</v>
      </c>
    </row>
    <row r="81" spans="1:5" x14ac:dyDescent="0.35">
      <c r="A81" s="6">
        <v>1977</v>
      </c>
      <c r="B81" s="4">
        <v>7</v>
      </c>
      <c r="C81" s="4">
        <v>5</v>
      </c>
      <c r="D81" s="4">
        <v>3</v>
      </c>
      <c r="E81" s="4">
        <v>4</v>
      </c>
    </row>
    <row r="82" spans="1:5" x14ac:dyDescent="0.35">
      <c r="A82" s="6">
        <v>1978</v>
      </c>
      <c r="B82" s="4">
        <v>7</v>
      </c>
      <c r="C82" s="4">
        <v>5</v>
      </c>
      <c r="D82" s="4">
        <v>4</v>
      </c>
      <c r="E82" s="4">
        <v>4</v>
      </c>
    </row>
    <row r="83" spans="1:5" x14ac:dyDescent="0.35">
      <c r="A83" s="6">
        <v>1979</v>
      </c>
      <c r="B83" s="4">
        <v>7</v>
      </c>
      <c r="C83" s="4">
        <v>5</v>
      </c>
      <c r="D83" s="4">
        <v>3</v>
      </c>
      <c r="E83" s="4">
        <v>4</v>
      </c>
    </row>
    <row r="84" spans="1:5" x14ac:dyDescent="0.35">
      <c r="A84" s="6">
        <v>1980</v>
      </c>
      <c r="B84" s="4">
        <v>7</v>
      </c>
      <c r="C84" s="4">
        <v>5</v>
      </c>
      <c r="D84" s="4">
        <v>3</v>
      </c>
      <c r="E84" s="4">
        <v>4</v>
      </c>
    </row>
    <row r="85" spans="1:5" x14ac:dyDescent="0.35">
      <c r="A85" s="6">
        <v>1981</v>
      </c>
      <c r="B85" s="4">
        <v>7</v>
      </c>
      <c r="C85" s="4">
        <v>5</v>
      </c>
      <c r="D85" s="4">
        <v>3</v>
      </c>
      <c r="E85" s="4">
        <v>4</v>
      </c>
    </row>
    <row r="86" spans="1:5" x14ac:dyDescent="0.35">
      <c r="A86" s="6">
        <v>1982</v>
      </c>
      <c r="B86" s="4">
        <v>7</v>
      </c>
      <c r="C86" s="4">
        <v>5</v>
      </c>
      <c r="D86" s="4">
        <v>4</v>
      </c>
      <c r="E86" s="4">
        <v>4</v>
      </c>
    </row>
    <row r="87" spans="1:5" x14ac:dyDescent="0.35">
      <c r="A87" s="6">
        <v>1983</v>
      </c>
      <c r="B87" s="4">
        <v>7</v>
      </c>
      <c r="C87" s="4">
        <v>5</v>
      </c>
      <c r="D87" s="4">
        <v>3</v>
      </c>
      <c r="E87" s="4">
        <v>4</v>
      </c>
    </row>
    <row r="88" spans="1:5" x14ac:dyDescent="0.35">
      <c r="A88" s="6">
        <v>1984</v>
      </c>
      <c r="B88" s="4">
        <v>7</v>
      </c>
      <c r="C88" s="4">
        <v>5</v>
      </c>
      <c r="D88" s="4">
        <v>3</v>
      </c>
      <c r="E88" s="4">
        <v>4</v>
      </c>
    </row>
    <row r="89" spans="1:5" x14ac:dyDescent="0.35">
      <c r="A89" s="6">
        <v>1985</v>
      </c>
      <c r="B89" s="4">
        <v>7</v>
      </c>
      <c r="C89" s="4">
        <v>5</v>
      </c>
      <c r="D89" s="4">
        <v>3</v>
      </c>
      <c r="E89" s="4">
        <v>4</v>
      </c>
    </row>
    <row r="90" spans="1:5" x14ac:dyDescent="0.35">
      <c r="A90" s="6">
        <v>1986</v>
      </c>
      <c r="B90" s="4">
        <v>7</v>
      </c>
      <c r="C90" s="4">
        <v>5</v>
      </c>
      <c r="D90" s="4">
        <v>4</v>
      </c>
      <c r="E90" s="4">
        <v>4</v>
      </c>
    </row>
    <row r="91" spans="1:5" x14ac:dyDescent="0.35">
      <c r="A91" s="6">
        <v>1987</v>
      </c>
      <c r="B91" s="4">
        <v>7</v>
      </c>
      <c r="C91" s="4">
        <v>5</v>
      </c>
      <c r="D91" s="4">
        <v>3</v>
      </c>
      <c r="E91" s="4">
        <v>4</v>
      </c>
    </row>
    <row r="92" spans="1:5" x14ac:dyDescent="0.35">
      <c r="A92" s="6">
        <v>1988</v>
      </c>
      <c r="B92" s="4">
        <v>7</v>
      </c>
      <c r="C92" s="4">
        <v>5</v>
      </c>
      <c r="D92" s="4">
        <v>4</v>
      </c>
      <c r="E92" s="4">
        <v>4</v>
      </c>
    </row>
    <row r="93" spans="1:5" x14ac:dyDescent="0.35">
      <c r="A93" s="6">
        <v>1989</v>
      </c>
      <c r="B93" s="4">
        <v>7</v>
      </c>
      <c r="C93" s="4">
        <v>5</v>
      </c>
      <c r="D93" s="4">
        <v>3</v>
      </c>
      <c r="E93" s="4">
        <v>4</v>
      </c>
    </row>
    <row r="94" spans="1:5" x14ac:dyDescent="0.35">
      <c r="A94" s="6">
        <v>1990</v>
      </c>
      <c r="B94" s="4">
        <v>7</v>
      </c>
      <c r="C94" s="4">
        <v>5</v>
      </c>
      <c r="D94" s="4">
        <v>3</v>
      </c>
      <c r="E94" s="4">
        <v>4</v>
      </c>
    </row>
    <row r="95" spans="1:5" x14ac:dyDescent="0.35">
      <c r="A95" s="6">
        <v>1991</v>
      </c>
      <c r="B95" s="4">
        <v>7</v>
      </c>
      <c r="C95" s="4">
        <v>5</v>
      </c>
      <c r="D95" s="4">
        <v>3</v>
      </c>
      <c r="E95" s="4">
        <v>4</v>
      </c>
    </row>
    <row r="96" spans="1:5" x14ac:dyDescent="0.35">
      <c r="A96" s="6">
        <v>1992</v>
      </c>
      <c r="B96" s="4">
        <v>7</v>
      </c>
      <c r="C96" s="4">
        <v>5</v>
      </c>
      <c r="D96" s="4">
        <v>3</v>
      </c>
      <c r="E96" s="4">
        <v>4</v>
      </c>
    </row>
    <row r="97" spans="1:5" x14ac:dyDescent="0.35">
      <c r="A97" s="6">
        <v>1993</v>
      </c>
      <c r="B97" s="4">
        <v>7</v>
      </c>
      <c r="C97" s="4">
        <v>5</v>
      </c>
      <c r="D97" s="4">
        <v>3</v>
      </c>
      <c r="E97" s="4">
        <v>4</v>
      </c>
    </row>
    <row r="98" spans="1:5" x14ac:dyDescent="0.35">
      <c r="A98" s="6">
        <v>1994</v>
      </c>
      <c r="B98" s="4">
        <v>7</v>
      </c>
      <c r="C98" s="4">
        <v>5</v>
      </c>
      <c r="D98" s="4">
        <v>3</v>
      </c>
      <c r="E98" s="4">
        <v>4</v>
      </c>
    </row>
    <row r="99" spans="1:5" x14ac:dyDescent="0.35">
      <c r="A99" s="6">
        <v>1995</v>
      </c>
      <c r="B99" s="4">
        <v>7</v>
      </c>
      <c r="C99" s="4">
        <v>5</v>
      </c>
      <c r="D99" s="4">
        <v>3</v>
      </c>
      <c r="E99" s="4">
        <v>4</v>
      </c>
    </row>
    <row r="100" spans="1:5" x14ac:dyDescent="0.35">
      <c r="A100" s="6">
        <v>1996</v>
      </c>
      <c r="B100" s="4">
        <v>7</v>
      </c>
      <c r="C100" s="4">
        <v>5</v>
      </c>
      <c r="D100" s="4">
        <v>3</v>
      </c>
      <c r="E100" s="4">
        <v>4</v>
      </c>
    </row>
    <row r="101" spans="1:5" x14ac:dyDescent="0.35">
      <c r="A101" s="6">
        <v>1997</v>
      </c>
      <c r="B101" s="4">
        <v>7</v>
      </c>
      <c r="C101" s="4">
        <v>5</v>
      </c>
      <c r="D101" s="4">
        <v>3</v>
      </c>
      <c r="E101" s="4">
        <v>4</v>
      </c>
    </row>
    <row r="102" spans="1:5" x14ac:dyDescent="0.35">
      <c r="A102" s="6">
        <v>1998</v>
      </c>
      <c r="B102" s="4">
        <v>7</v>
      </c>
      <c r="C102" s="4">
        <v>5</v>
      </c>
      <c r="D102" s="4">
        <v>3</v>
      </c>
      <c r="E102" s="4">
        <v>4</v>
      </c>
    </row>
    <row r="103" spans="1:5" x14ac:dyDescent="0.35">
      <c r="A103" s="6">
        <v>1999</v>
      </c>
      <c r="B103" s="4">
        <v>7</v>
      </c>
      <c r="C103" s="4">
        <v>5</v>
      </c>
      <c r="D103" s="4">
        <v>3</v>
      </c>
      <c r="E103" s="4">
        <v>4</v>
      </c>
    </row>
    <row r="104" spans="1:5" x14ac:dyDescent="0.35">
      <c r="A104" s="6">
        <v>2000</v>
      </c>
      <c r="B104" s="4">
        <v>7</v>
      </c>
      <c r="C104" s="4">
        <v>5</v>
      </c>
      <c r="D104" s="4">
        <v>3</v>
      </c>
      <c r="E104" s="4">
        <v>4</v>
      </c>
    </row>
    <row r="105" spans="1:5" x14ac:dyDescent="0.35">
      <c r="A105" s="6">
        <v>2001</v>
      </c>
      <c r="B105" s="4">
        <v>7</v>
      </c>
      <c r="C105" s="4">
        <v>5</v>
      </c>
      <c r="D105" s="4">
        <v>3</v>
      </c>
      <c r="E105" s="4">
        <v>4</v>
      </c>
    </row>
    <row r="106" spans="1:5" x14ac:dyDescent="0.35">
      <c r="A106" s="6">
        <v>2002</v>
      </c>
      <c r="B106" s="4">
        <v>7</v>
      </c>
      <c r="C106" s="4">
        <v>5</v>
      </c>
      <c r="D106" s="4">
        <v>3</v>
      </c>
      <c r="E106" s="4">
        <v>4</v>
      </c>
    </row>
    <row r="107" spans="1:5" x14ac:dyDescent="0.35">
      <c r="A107" s="6">
        <v>2003</v>
      </c>
      <c r="B107" s="4">
        <v>7</v>
      </c>
      <c r="C107" s="4">
        <v>5</v>
      </c>
      <c r="D107" s="4">
        <v>3</v>
      </c>
      <c r="E107" s="4">
        <v>4</v>
      </c>
    </row>
    <row r="108" spans="1:5" x14ac:dyDescent="0.35">
      <c r="A108" s="6">
        <v>2004</v>
      </c>
      <c r="B108" s="4">
        <v>7</v>
      </c>
      <c r="C108" s="4">
        <v>5</v>
      </c>
      <c r="D108" s="4">
        <v>3</v>
      </c>
      <c r="E108" s="4">
        <v>4</v>
      </c>
    </row>
    <row r="109" spans="1:5" x14ac:dyDescent="0.35">
      <c r="A109" s="6">
        <v>2005</v>
      </c>
      <c r="B109" s="4">
        <v>17</v>
      </c>
      <c r="C109" s="4">
        <v>14</v>
      </c>
      <c r="D109" s="4">
        <v>9</v>
      </c>
      <c r="E109" s="4">
        <v>13</v>
      </c>
    </row>
    <row r="110" spans="1:5" x14ac:dyDescent="0.35">
      <c r="A110" s="6">
        <v>2006</v>
      </c>
      <c r="B110" s="4">
        <v>18</v>
      </c>
      <c r="C110" s="4">
        <v>14</v>
      </c>
      <c r="D110" s="4">
        <v>9</v>
      </c>
      <c r="E110" s="4">
        <v>13</v>
      </c>
    </row>
    <row r="111" spans="1:5" x14ac:dyDescent="0.35">
      <c r="A111" s="6">
        <v>2007</v>
      </c>
      <c r="B111" s="4">
        <v>18</v>
      </c>
      <c r="C111" s="4">
        <v>14</v>
      </c>
      <c r="D111" s="4">
        <v>12</v>
      </c>
      <c r="E111" s="4">
        <v>13</v>
      </c>
    </row>
    <row r="112" spans="1:5" x14ac:dyDescent="0.35">
      <c r="A112" s="6">
        <v>2008</v>
      </c>
      <c r="B112" s="4">
        <v>17</v>
      </c>
      <c r="C112" s="4">
        <v>14</v>
      </c>
      <c r="D112" s="4">
        <v>9</v>
      </c>
      <c r="E112" s="4">
        <v>13</v>
      </c>
    </row>
    <row r="113" spans="1:5" x14ac:dyDescent="0.35">
      <c r="A113" s="6">
        <v>2009</v>
      </c>
      <c r="B113" s="4">
        <v>17</v>
      </c>
      <c r="C113" s="4">
        <v>14</v>
      </c>
      <c r="D113" s="4">
        <v>9</v>
      </c>
      <c r="E113" s="4">
        <v>13</v>
      </c>
    </row>
    <row r="114" spans="1:5" x14ac:dyDescent="0.35">
      <c r="A114" s="6">
        <v>2010</v>
      </c>
      <c r="B114" s="4">
        <v>18</v>
      </c>
      <c r="C114" s="4">
        <v>14</v>
      </c>
      <c r="D114" s="4">
        <v>9</v>
      </c>
      <c r="E114" s="4">
        <v>13</v>
      </c>
    </row>
    <row r="115" spans="1:5" x14ac:dyDescent="0.35">
      <c r="A115" s="6">
        <v>2011</v>
      </c>
      <c r="B115" s="4">
        <v>18</v>
      </c>
      <c r="C115" s="4">
        <v>14</v>
      </c>
      <c r="D115" s="4">
        <v>11</v>
      </c>
      <c r="E115" s="4">
        <v>13</v>
      </c>
    </row>
    <row r="116" spans="1:5" x14ac:dyDescent="0.35">
      <c r="A116" s="6">
        <v>2012</v>
      </c>
      <c r="B116" s="4">
        <v>17</v>
      </c>
      <c r="C116" s="4">
        <v>14</v>
      </c>
      <c r="D116" s="4">
        <v>9</v>
      </c>
      <c r="E116" s="4">
        <v>13</v>
      </c>
    </row>
    <row r="117" spans="1:5" x14ac:dyDescent="0.35">
      <c r="A117" s="6">
        <v>2013</v>
      </c>
      <c r="B117" s="4">
        <v>15</v>
      </c>
      <c r="C117" s="4">
        <v>13</v>
      </c>
      <c r="D117" s="4">
        <v>9</v>
      </c>
      <c r="E117" s="4">
        <v>13</v>
      </c>
    </row>
    <row r="118" spans="1:5" x14ac:dyDescent="0.35">
      <c r="A118" s="6">
        <v>2014</v>
      </c>
      <c r="B118" s="4">
        <v>16</v>
      </c>
      <c r="C118" s="4">
        <v>13</v>
      </c>
      <c r="D118" s="4">
        <v>9</v>
      </c>
      <c r="E118" s="4">
        <v>13</v>
      </c>
    </row>
    <row r="119" spans="1:5" x14ac:dyDescent="0.35">
      <c r="A119" s="6">
        <v>2015</v>
      </c>
      <c r="B119" s="4">
        <v>15</v>
      </c>
      <c r="C119" s="4">
        <v>13</v>
      </c>
      <c r="D119" s="4">
        <v>11</v>
      </c>
      <c r="E119" s="4">
        <v>13</v>
      </c>
    </row>
    <row r="120" spans="1:5" x14ac:dyDescent="0.35">
      <c r="A120" s="6">
        <v>2016</v>
      </c>
      <c r="B120" s="4">
        <v>14</v>
      </c>
      <c r="C120" s="4">
        <v>12</v>
      </c>
      <c r="D120" s="4">
        <v>10</v>
      </c>
      <c r="E120" s="4">
        <v>12</v>
      </c>
    </row>
    <row r="121" spans="1:5" x14ac:dyDescent="0.35">
      <c r="A121" s="6">
        <v>2017</v>
      </c>
      <c r="B121" s="4">
        <v>14</v>
      </c>
      <c r="C121" s="4">
        <v>11</v>
      </c>
      <c r="D121" s="4">
        <v>10</v>
      </c>
      <c r="E121" s="4">
        <v>11</v>
      </c>
    </row>
    <row r="122" spans="1:5" x14ac:dyDescent="0.35">
      <c r="A122" s="6">
        <v>2018</v>
      </c>
      <c r="B122" s="4">
        <v>13</v>
      </c>
      <c r="C122" s="4">
        <v>10</v>
      </c>
      <c r="D122" s="4">
        <v>9</v>
      </c>
      <c r="E122" s="4">
        <v>10</v>
      </c>
    </row>
    <row r="123" spans="1:5" x14ac:dyDescent="0.35">
      <c r="A123" s="6">
        <v>2019</v>
      </c>
      <c r="B123" s="4">
        <v>12</v>
      </c>
      <c r="C123" s="4">
        <v>9</v>
      </c>
      <c r="D123" s="4">
        <v>9</v>
      </c>
      <c r="E123" s="4">
        <v>9</v>
      </c>
    </row>
    <row r="124" spans="1:5" x14ac:dyDescent="0.35">
      <c r="A124" s="6">
        <v>2020</v>
      </c>
      <c r="B124" s="4">
        <v>10</v>
      </c>
      <c r="C124" s="4">
        <v>8</v>
      </c>
      <c r="D124" s="4">
        <v>5</v>
      </c>
      <c r="E124" s="4">
        <v>8</v>
      </c>
    </row>
    <row r="125" spans="1:5" x14ac:dyDescent="0.35">
      <c r="A125" s="6">
        <v>2021</v>
      </c>
      <c r="B125" s="4">
        <v>8</v>
      </c>
      <c r="C125" s="4">
        <v>7</v>
      </c>
      <c r="D125" s="4">
        <v>3</v>
      </c>
      <c r="E125" s="4">
        <v>7</v>
      </c>
    </row>
    <row r="126" spans="1:5" x14ac:dyDescent="0.35">
      <c r="A126" s="6">
        <v>2022</v>
      </c>
      <c r="B126" s="4">
        <v>6</v>
      </c>
      <c r="C126" s="4">
        <v>6</v>
      </c>
      <c r="D126" s="4">
        <v>2</v>
      </c>
      <c r="E126" s="4">
        <v>6</v>
      </c>
    </row>
    <row r="127" spans="1:5" x14ac:dyDescent="0.35">
      <c r="A127" s="6" t="s">
        <v>51</v>
      </c>
      <c r="B127" s="4">
        <v>1019</v>
      </c>
      <c r="C127" s="4">
        <v>760</v>
      </c>
      <c r="D127" s="4">
        <v>485</v>
      </c>
      <c r="E127" s="4">
        <v>556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</vt:lpstr>
      <vt:lpstr>CL</vt:lpstr>
      <vt:lpstr>Summaries</vt:lpstr>
      <vt:lpstr>Pivot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Coppedge</dc:creator>
  <cp:lastModifiedBy>Patrick McQuestion</cp:lastModifiedBy>
  <dcterms:created xsi:type="dcterms:W3CDTF">2024-04-18T13:49:00Z</dcterms:created>
  <dcterms:modified xsi:type="dcterms:W3CDTF">2024-04-22T14:46:09Z</dcterms:modified>
</cp:coreProperties>
</file>